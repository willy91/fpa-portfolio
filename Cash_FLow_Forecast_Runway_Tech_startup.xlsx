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y\OneDrive\Documents\Freelancing\Portfolio\Excels\Claude_Portfolio\"/>
    </mc:Choice>
  </mc:AlternateContent>
  <xr:revisionPtr revIDLastSave="0" documentId="13_ncr:1_{C9AE91A1-3657-479E-93AA-9BF51882ECFA}" xr6:coauthVersionLast="47" xr6:coauthVersionMax="47" xr10:uidLastSave="{00000000-0000-0000-0000-000000000000}"/>
  <bookViews>
    <workbookView xWindow="28680" yWindow="-120" windowWidth="29040" windowHeight="15720" activeTab="1" xr2:uid="{FF505B1E-EF25-47AF-9FD0-0CFEAD233568}"/>
  </bookViews>
  <sheets>
    <sheet name="Assumptions" sheetId="1" r:id="rId1"/>
    <sheet name="Monthly_Forecast" sheetId="2" r:id="rId2"/>
    <sheet name="Runway_Analysis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W1" i="2"/>
  <c r="X1" i="2"/>
  <c r="Y1" i="2" s="1"/>
  <c r="W3" i="2"/>
  <c r="X3" i="2"/>
  <c r="Y3" i="2" s="1"/>
  <c r="Y4" i="2" s="1"/>
  <c r="W4" i="2"/>
  <c r="W10" i="2" s="1"/>
  <c r="X4" i="2"/>
  <c r="X10" i="2" s="1"/>
  <c r="W7" i="2"/>
  <c r="X7" i="2" s="1"/>
  <c r="W9" i="2"/>
  <c r="X9" i="2"/>
  <c r="Y9" i="2"/>
  <c r="N1" i="2"/>
  <c r="O1" i="2" s="1"/>
  <c r="P1" i="2" s="1"/>
  <c r="Q1" i="2" s="1"/>
  <c r="R1" i="2" s="1"/>
  <c r="S1" i="2" s="1"/>
  <c r="T1" i="2" s="1"/>
  <c r="U1" i="2" s="1"/>
  <c r="V1" i="2" s="1"/>
  <c r="N3" i="2"/>
  <c r="O3" i="2" s="1"/>
  <c r="N7" i="2"/>
  <c r="O7" i="2"/>
  <c r="P7" i="2"/>
  <c r="Q7" i="2"/>
  <c r="R7" i="2"/>
  <c r="S7" i="2"/>
  <c r="T7" i="2"/>
  <c r="U7" i="2" s="1"/>
  <c r="N8" i="2"/>
  <c r="O8" i="2"/>
  <c r="P8" i="2"/>
  <c r="Q8" i="2"/>
  <c r="R8" i="2"/>
  <c r="S8" i="2"/>
  <c r="N9" i="2"/>
  <c r="O9" i="2"/>
  <c r="P9" i="2"/>
  <c r="Q9" i="2"/>
  <c r="R9" i="2"/>
  <c r="S9" i="2"/>
  <c r="T9" i="2"/>
  <c r="U9" i="2"/>
  <c r="V9" i="2"/>
  <c r="D16" i="2"/>
  <c r="E16" i="2" s="1"/>
  <c r="F16" i="2" s="1"/>
  <c r="G16" i="2" s="1"/>
  <c r="H16" i="2" s="1"/>
  <c r="I16" i="2" s="1"/>
  <c r="J16" i="2" s="1"/>
  <c r="K16" i="2" s="1"/>
  <c r="L16" i="2" s="1"/>
  <c r="M16" i="2" s="1"/>
  <c r="C16" i="2"/>
  <c r="B16" i="2"/>
  <c r="C15" i="2"/>
  <c r="D15" i="2"/>
  <c r="E15" i="2"/>
  <c r="F15" i="2"/>
  <c r="G15" i="2"/>
  <c r="H15" i="2"/>
  <c r="I15" i="2"/>
  <c r="J15" i="2"/>
  <c r="K15" i="2"/>
  <c r="L15" i="2"/>
  <c r="M15" i="2"/>
  <c r="B15" i="2"/>
  <c r="C14" i="2"/>
  <c r="D14" i="2"/>
  <c r="E14" i="2"/>
  <c r="F14" i="2"/>
  <c r="G14" i="2"/>
  <c r="H14" i="2"/>
  <c r="I14" i="2"/>
  <c r="J14" i="2"/>
  <c r="K14" i="2"/>
  <c r="L14" i="2"/>
  <c r="M14" i="2"/>
  <c r="B14" i="2"/>
  <c r="C13" i="2"/>
  <c r="D13" i="2"/>
  <c r="E13" i="2"/>
  <c r="F13" i="2"/>
  <c r="G13" i="2"/>
  <c r="H13" i="2"/>
  <c r="I13" i="2"/>
  <c r="J13" i="2"/>
  <c r="K13" i="2"/>
  <c r="L13" i="2"/>
  <c r="M13" i="2"/>
  <c r="B13" i="2"/>
  <c r="C9" i="2"/>
  <c r="D9" i="2"/>
  <c r="E9" i="2"/>
  <c r="F9" i="2"/>
  <c r="G9" i="2"/>
  <c r="H9" i="2"/>
  <c r="I9" i="2"/>
  <c r="J9" i="2"/>
  <c r="K9" i="2"/>
  <c r="L9" i="2"/>
  <c r="M9" i="2"/>
  <c r="B9" i="2"/>
  <c r="C7" i="2"/>
  <c r="C8" i="2" s="1"/>
  <c r="B7" i="2"/>
  <c r="B8" i="2" s="1"/>
  <c r="B3" i="2"/>
  <c r="B4" i="2" s="1"/>
  <c r="B10" i="2" s="1"/>
  <c r="B1" i="2"/>
  <c r="C1" i="2" s="1"/>
  <c r="D1" i="2" s="1"/>
  <c r="E1" i="2" s="1"/>
  <c r="F1" i="2" s="1"/>
  <c r="G1" i="2" s="1"/>
  <c r="H1" i="2" s="1"/>
  <c r="I1" i="2" s="1"/>
  <c r="J1" i="2" s="1"/>
  <c r="K1" i="2" s="1"/>
  <c r="L1" i="2" s="1"/>
  <c r="M1" i="2" s="1"/>
  <c r="Y7" i="2" l="1"/>
  <c r="Y8" i="2" s="1"/>
  <c r="Y14" i="2" s="1"/>
  <c r="X8" i="2"/>
  <c r="X14" i="2" s="1"/>
  <c r="Y10" i="2"/>
  <c r="Y13" i="2"/>
  <c r="W13" i="2"/>
  <c r="X13" i="2"/>
  <c r="X15" i="2" s="1"/>
  <c r="W8" i="2"/>
  <c r="W14" i="2" s="1"/>
  <c r="V7" i="2"/>
  <c r="V8" i="2" s="1"/>
  <c r="U8" i="2"/>
  <c r="P3" i="2"/>
  <c r="O4" i="2"/>
  <c r="T8" i="2"/>
  <c r="N4" i="2"/>
  <c r="C3" i="2"/>
  <c r="D7" i="2"/>
  <c r="W15" i="2" l="1"/>
  <c r="W16" i="2" s="1"/>
  <c r="X16" i="2" s="1"/>
  <c r="Y15" i="2"/>
  <c r="O10" i="2"/>
  <c r="O14" i="2" s="1"/>
  <c r="O13" i="2"/>
  <c r="O15" i="2" s="1"/>
  <c r="Q3" i="2"/>
  <c r="P4" i="2"/>
  <c r="N10" i="2"/>
  <c r="N14" i="2" s="1"/>
  <c r="N13" i="2"/>
  <c r="N15" i="2" s="1"/>
  <c r="N16" i="2" s="1"/>
  <c r="O16" i="2" s="1"/>
  <c r="D8" i="2"/>
  <c r="E7" i="2"/>
  <c r="C4" i="2"/>
  <c r="C10" i="2" s="1"/>
  <c r="D3" i="2"/>
  <c r="Y16" i="2" l="1"/>
  <c r="P16" i="2"/>
  <c r="P10" i="2"/>
  <c r="P14" i="2" s="1"/>
  <c r="P13" i="2"/>
  <c r="P15" i="2" s="1"/>
  <c r="R3" i="2"/>
  <c r="Q4" i="2"/>
  <c r="E3" i="2"/>
  <c r="D4" i="2"/>
  <c r="D10" i="2" s="1"/>
  <c r="E8" i="2"/>
  <c r="F7" i="2"/>
  <c r="Q13" i="2" l="1"/>
  <c r="Q10" i="2"/>
  <c r="Q14" i="2" s="1"/>
  <c r="S3" i="2"/>
  <c r="R4" i="2"/>
  <c r="G7" i="2"/>
  <c r="F8" i="2"/>
  <c r="F3" i="2"/>
  <c r="E4" i="2"/>
  <c r="E10" i="2" s="1"/>
  <c r="R10" i="2" l="1"/>
  <c r="R14" i="2" s="1"/>
  <c r="R13" i="2"/>
  <c r="R15" i="2" s="1"/>
  <c r="T3" i="2"/>
  <c r="S4" i="2"/>
  <c r="Q15" i="2"/>
  <c r="Q16" i="2" s="1"/>
  <c r="R16" i="2" s="1"/>
  <c r="G3" i="2"/>
  <c r="F4" i="2"/>
  <c r="F10" i="2" s="1"/>
  <c r="H7" i="2"/>
  <c r="G8" i="2"/>
  <c r="S10" i="2" l="1"/>
  <c r="S14" i="2" s="1"/>
  <c r="S13" i="2"/>
  <c r="U3" i="2"/>
  <c r="T4" i="2"/>
  <c r="I7" i="2"/>
  <c r="H8" i="2"/>
  <c r="H3" i="2"/>
  <c r="G4" i="2"/>
  <c r="G10" i="2" s="1"/>
  <c r="T10" i="2" l="1"/>
  <c r="T14" i="2" s="1"/>
  <c r="T13" i="2"/>
  <c r="T15" i="2" s="1"/>
  <c r="V3" i="2"/>
  <c r="V4" i="2" s="1"/>
  <c r="U4" i="2"/>
  <c r="S15" i="2"/>
  <c r="S16" i="2" s="1"/>
  <c r="T16" i="2" s="1"/>
  <c r="J7" i="2"/>
  <c r="I8" i="2"/>
  <c r="I3" i="2"/>
  <c r="H4" i="2"/>
  <c r="H10" i="2" s="1"/>
  <c r="U10" i="2" l="1"/>
  <c r="U14" i="2" s="1"/>
  <c r="U13" i="2"/>
  <c r="V10" i="2"/>
  <c r="V14" i="2" s="1"/>
  <c r="V13" i="2"/>
  <c r="V15" i="2" s="1"/>
  <c r="J3" i="2"/>
  <c r="I4" i="2"/>
  <c r="I10" i="2" s="1"/>
  <c r="K7" i="2"/>
  <c r="J8" i="2"/>
  <c r="U15" i="2" l="1"/>
  <c r="U16" i="2" s="1"/>
  <c r="V16" i="2" s="1"/>
  <c r="L7" i="2"/>
  <c r="K8" i="2"/>
  <c r="K3" i="2"/>
  <c r="J4" i="2"/>
  <c r="J10" i="2" s="1"/>
  <c r="L3" i="2" l="1"/>
  <c r="K4" i="2"/>
  <c r="K10" i="2" s="1"/>
  <c r="M7" i="2"/>
  <c r="M8" i="2" s="1"/>
  <c r="L8" i="2"/>
  <c r="M3" i="2" l="1"/>
  <c r="M4" i="2" s="1"/>
  <c r="M10" i="2" s="1"/>
  <c r="L4" i="2"/>
  <c r="L10" i="2" s="1"/>
</calcChain>
</file>

<file path=xl/sharedStrings.xml><?xml version="1.0" encoding="utf-8"?>
<sst xmlns="http://schemas.openxmlformats.org/spreadsheetml/2006/main" count="37" uniqueCount="37">
  <si>
    <t>Tech Startup — Financial Model Assumptions</t>
  </si>
  <si>
    <t>Revenue</t>
  </si>
  <si>
    <t>Starting MRR</t>
  </si>
  <si>
    <t>Monthly MRR Growth Rate</t>
  </si>
  <si>
    <t>Monthly Churn Rate</t>
  </si>
  <si>
    <t>Starting Customers</t>
  </si>
  <si>
    <t>ARPU (monthly)</t>
  </si>
  <si>
    <t>COSTS &amp; MARGIN</t>
  </si>
  <si>
    <t>Gross Margin</t>
  </si>
  <si>
    <t>Starting Headcount</t>
  </si>
  <si>
    <t>Avg Fully-Loaded Cost / Employee (monthly)</t>
  </si>
  <si>
    <t>Non-Payroll OpEx (monthly)</t>
  </si>
  <si>
    <t>New Hires per Month</t>
  </si>
  <si>
    <t>CASH</t>
  </si>
  <si>
    <t>Starting Cash Balance</t>
  </si>
  <si>
    <t>Forecast Months</t>
  </si>
  <si>
    <t>Customers</t>
  </si>
  <si>
    <t>MRR</t>
  </si>
  <si>
    <t>Headcount</t>
  </si>
  <si>
    <t>Payroll Cost</t>
  </si>
  <si>
    <t>Non-Payroll OpEx</t>
  </si>
  <si>
    <t>COGS (Cost of Goods Sold)</t>
  </si>
  <si>
    <t>Total Revenue</t>
  </si>
  <si>
    <t>Total Costs</t>
  </si>
  <si>
    <t>Net Burn</t>
  </si>
  <si>
    <t>Cash Balance</t>
  </si>
  <si>
    <t>REVENUE</t>
  </si>
  <si>
    <t>COSTS</t>
  </si>
  <si>
    <t>CASH FLOW</t>
  </si>
  <si>
    <t>Starting Cash</t>
  </si>
  <si>
    <t>Current Monthly Burn</t>
  </si>
  <si>
    <t>Average Monthly Burn</t>
  </si>
  <si>
    <t>Runway — Simple (months)</t>
  </si>
  <si>
    <t xml:space="preserve"> Month 14</t>
  </si>
  <si>
    <t>Cash-Out Month:</t>
  </si>
  <si>
    <t xml:space="preserve">Cash-Out Date:  </t>
  </si>
  <si>
    <t xml:space="preserve"> March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</si>
</sst>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  <numFmt numFmtId="175" formatCode="[$-409]mmm\-yy;@"/>
    <numFmt numFmtId="176" formatCode="mmm\ dd\,\ yyyy"/>
    <numFmt numFmtId="177" formatCode="&quot;$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9" fontId="0" fillId="0" borderId="0" xfId="3" applyFont="1"/>
    <xf numFmtId="166" fontId="0" fillId="0" borderId="0" xfId="3" applyNumberFormat="1" applyFont="1"/>
    <xf numFmtId="37" fontId="0" fillId="0" borderId="0" xfId="2" applyNumberFormat="1" applyFont="1"/>
    <xf numFmtId="14" fontId="0" fillId="0" borderId="0" xfId="0" applyNumberFormat="1"/>
    <xf numFmtId="165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Cash Balance Over</a:t>
            </a:r>
            <a:r>
              <a:rPr lang="en-US" sz="2000" b="1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Time</a:t>
            </a:r>
            <a:endParaRPr lang="en-US" sz="20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4"/>
          <c:order val="0"/>
          <c:tx>
            <c:strRef>
              <c:f>Monthly_Forecast!$A$16</c:f>
              <c:strCache>
                <c:ptCount val="1"/>
                <c:pt idx="0">
                  <c:v>Cash Balance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Monthly_Forecast!$B$1:$Y$1</c:f>
              <c:numCache>
                <c:formatCode>[$-409]mmm\-yy;@</c:formatCode>
                <c:ptCount val="2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</c:numCache>
            </c:numRef>
          </c:cat>
          <c:val>
            <c:numRef>
              <c:f>Monthly_Forecast!$B$16:$Y$16</c:f>
              <c:numCache>
                <c:formatCode>_(* #,##0_);_(* \(#,##0\);_(* "-"??_);_(@_)</c:formatCode>
                <c:ptCount val="24"/>
                <c:pt idx="0">
                  <c:v>11500000</c:v>
                </c:pt>
                <c:pt idx="1">
                  <c:v>10895618</c:v>
                </c:pt>
                <c:pt idx="2">
                  <c:v>10268244.99</c:v>
                </c:pt>
                <c:pt idx="3">
                  <c:v>9618926.4644499999</c:v>
                </c:pt>
                <c:pt idx="4">
                  <c:v>8948765.4199947491</c:v>
                </c:pt>
                <c:pt idx="5">
                  <c:v>8258925.5180944605</c:v>
                </c:pt>
                <c:pt idx="6">
                  <c:v>7550634.4215896558</c:v>
                </c:pt>
                <c:pt idx="7">
                  <c:v>6825187.3147770874</c:v>
                </c:pt>
                <c:pt idx="8">
                  <c:v>6083950.6170898275</c:v>
                </c:pt>
                <c:pt idx="9">
                  <c:v>5328365.9010297684</c:v>
                </c:pt>
                <c:pt idx="10">
                  <c:v>4559954.0255864067</c:v>
                </c:pt>
                <c:pt idx="11">
                  <c:v>3780319.49699366</c:v>
                </c:pt>
                <c:pt idx="12">
                  <c:v>2991155.0693283123</c:v>
                </c:pt>
                <c:pt idx="13">
                  <c:v>2194246.5981413708</c:v>
                </c:pt>
                <c:pt idx="14">
                  <c:v>1391478.1610391473</c:v>
                </c:pt>
                <c:pt idx="15">
                  <c:v>584837.4598963015</c:v>
                </c:pt>
                <c:pt idx="16">
                  <c:v>-223578.47980940051</c:v>
                </c:pt>
                <c:pt idx="17">
                  <c:v>-1031557.2961989162</c:v>
                </c:pt>
                <c:pt idx="18">
                  <c:v>-1836764.9474898549</c:v>
                </c:pt>
                <c:pt idx="19">
                  <c:v>-2636739.0196017949</c:v>
                </c:pt>
                <c:pt idx="20">
                  <c:v>-3428881.6656798916</c:v>
                </c:pt>
                <c:pt idx="21">
                  <c:v>-4210452.1572922841</c:v>
                </c:pt>
                <c:pt idx="22">
                  <c:v>-4978559.0259433575</c:v>
                </c:pt>
                <c:pt idx="23">
                  <c:v>-5730151.7723702397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45-47EE-AE59-0AD79B820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2236176"/>
        <c:axId val="1602235696"/>
      </c:lineChart>
      <c:scatterChart>
        <c:scatterStyle val="lineMarker"/>
        <c:varyColors val="0"/>
        <c:ser>
          <c:idx val="0"/>
          <c:order val="1"/>
          <c:tx>
            <c:v>Cash-Out: Apr 2027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dLbls>
            <c:dLbl>
              <c:idx val="0"/>
              <c:layout>
                <c:manualLayout>
                  <c:x val="-8.2869656628392879E-2"/>
                  <c:y val="6.927334268463743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F45-47EE-AE59-0AD79B8204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Dashboard!$AD$1</c:f>
              <c:numCache>
                <c:formatCode>mmm\ dd\,\ yyyy</c:formatCode>
                <c:ptCount val="1"/>
              </c:numCache>
            </c:numRef>
          </c:xVal>
          <c:yVal>
            <c:numRef>
              <c:f>Dashboard!$AD$2</c:f>
              <c:numCache>
                <c:formatCode>"$"#,##0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F45-47EE-AE59-0AD79B820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581679"/>
        <c:axId val="707582159"/>
      </c:scatterChart>
      <c:dateAx>
        <c:axId val="1602236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2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[$-409]mmm\-yy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35696"/>
        <c:crosses val="autoZero"/>
        <c:auto val="1"/>
        <c:lblOffset val="100"/>
        <c:baseTimeUnit val="months"/>
      </c:dateAx>
      <c:valAx>
        <c:axId val="1602235696"/>
        <c:scaling>
          <c:orientation val="minMax"/>
          <c:max val="12000000"/>
          <c:min val="-6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20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Cash</a:t>
                </a:r>
                <a:r>
                  <a:rPr lang="en-US" sz="1200" b="1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 Balance</a:t>
                </a:r>
                <a:endParaRPr lang="en-US" sz="12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36176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726162229518247E-2"/>
                <c:y val="0.3820417933594124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707582159"/>
        <c:scaling>
          <c:orientation val="minMax"/>
        </c:scaling>
        <c:delete val="1"/>
        <c:axPos val="r"/>
        <c:numFmt formatCode="&quot;$&quot;#,##0" sourceLinked="1"/>
        <c:majorTickMark val="out"/>
        <c:minorTickMark val="none"/>
        <c:tickLblPos val="nextTo"/>
        <c:crossAx val="707581679"/>
        <c:crosses val="max"/>
        <c:crossBetween val="midCat"/>
      </c:valAx>
      <c:valAx>
        <c:axId val="707581679"/>
        <c:scaling>
          <c:orientation val="minMax"/>
        </c:scaling>
        <c:delete val="1"/>
        <c:axPos val="t"/>
        <c:numFmt formatCode="mmm\ dd\,\ yyyy" sourceLinked="1"/>
        <c:majorTickMark val="out"/>
        <c:minorTickMark val="none"/>
        <c:tickLblPos val="nextTo"/>
        <c:crossAx val="707582159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904029168253504"/>
          <c:y val="0.94624403732485551"/>
          <c:w val="0.11487634988379569"/>
          <c:h val="2.9380882561604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MRR Over</a:t>
            </a:r>
            <a:r>
              <a:rPr lang="en-US" sz="2000" b="1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Time</a:t>
            </a:r>
            <a:endParaRPr lang="en-US" sz="20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4"/>
          <c:order val="0"/>
          <c:tx>
            <c:strRef>
              <c:f>Monthly_Forecast!$A$4</c:f>
              <c:strCache>
                <c:ptCount val="1"/>
                <c:pt idx="0">
                  <c:v>MRR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Monthly_Forecast!$B$1:$Y$1</c:f>
              <c:numCache>
                <c:formatCode>[$-409]mmm\-yy;@</c:formatCode>
                <c:ptCount val="2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</c:numCache>
            </c:numRef>
          </c:cat>
          <c:val>
            <c:numRef>
              <c:f>Monthly_Forecast!$B$4:$Y$4</c:f>
              <c:numCache>
                <c:formatCode>_(* #,##0_);_(* \(#,##0\);_(* "-"??_);_(@_)</c:formatCode>
                <c:ptCount val="24"/>
                <c:pt idx="0">
                  <c:v>420000</c:v>
                </c:pt>
                <c:pt idx="1">
                  <c:v>443100.00000000006</c:v>
                </c:pt>
                <c:pt idx="2">
                  <c:v>467470.50000000017</c:v>
                </c:pt>
                <c:pt idx="3">
                  <c:v>493181.37750000024</c:v>
                </c:pt>
                <c:pt idx="4">
                  <c:v>520306.35326250031</c:v>
                </c:pt>
                <c:pt idx="5">
                  <c:v>548923.20269193791</c:v>
                </c:pt>
                <c:pt idx="6">
                  <c:v>579113.97883999452</c:v>
                </c:pt>
                <c:pt idx="7">
                  <c:v>610965.2476761943</c:v>
                </c:pt>
                <c:pt idx="8">
                  <c:v>644568.33629838517</c:v>
                </c:pt>
                <c:pt idx="9">
                  <c:v>680019.59479479643</c:v>
                </c:pt>
                <c:pt idx="10">
                  <c:v>717420.67250851041</c:v>
                </c:pt>
                <c:pt idx="11">
                  <c:v>756878.80949647853</c:v>
                </c:pt>
                <c:pt idx="12">
                  <c:v>798507.14401878498</c:v>
                </c:pt>
                <c:pt idx="13">
                  <c:v>842425.0369398183</c:v>
                </c:pt>
                <c:pt idx="14">
                  <c:v>888758.41397150839</c:v>
                </c:pt>
                <c:pt idx="15">
                  <c:v>937640.12673994142</c:v>
                </c:pt>
                <c:pt idx="16">
                  <c:v>989210.33371063834</c:v>
                </c:pt>
                <c:pt idx="17">
                  <c:v>1043616.9020647235</c:v>
                </c:pt>
                <c:pt idx="18">
                  <c:v>1101015.8316782836</c:v>
                </c:pt>
                <c:pt idx="19">
                  <c:v>1161571.7024205893</c:v>
                </c:pt>
                <c:pt idx="20">
                  <c:v>1225458.1460537219</c:v>
                </c:pt>
                <c:pt idx="21">
                  <c:v>1292858.3440866768</c:v>
                </c:pt>
                <c:pt idx="22">
                  <c:v>1363965.5530114442</c:v>
                </c:pt>
                <c:pt idx="23">
                  <c:v>1438983.6584270739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E3-4433-9ECA-5E8E9C4F9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236176"/>
        <c:axId val="1602235696"/>
      </c:lineChart>
      <c:dateAx>
        <c:axId val="1602236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2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Time (Months)</a:t>
                </a:r>
              </a:p>
            </c:rich>
          </c:tx>
          <c:layout>
            <c:manualLayout>
              <c:xMode val="edge"/>
              <c:yMode val="edge"/>
              <c:x val="0.4667004583501887"/>
              <c:y val="0.91044250604381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[$-409]mmm\-yy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35696"/>
        <c:crosses val="autoZero"/>
        <c:auto val="1"/>
        <c:lblOffset val="100"/>
        <c:baseTimeUnit val="months"/>
      </c:dateAx>
      <c:valAx>
        <c:axId val="1602235696"/>
        <c:scaling>
          <c:orientation val="minMax"/>
          <c:max val="16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20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MRR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36176"/>
        <c:crosses val="autoZero"/>
        <c:crossBetween val="midCat"/>
        <c:dispUnits>
          <c:builtInUnit val="thousands"/>
          <c:dispUnitsLbl>
            <c:layout>
              <c:manualLayout>
                <c:xMode val="edge"/>
                <c:yMode val="edge"/>
                <c:x val="3.474111723417056E-2"/>
                <c:y val="0.37451269271901005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0333447701860659"/>
          <c:y val="0.94624403732485551"/>
          <c:w val="7.0582187904381186E-2"/>
          <c:h val="2.9380882561604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Revenue vs Costs vs Net Burn</a:t>
            </a:r>
            <a:endParaRPr lang="en-US" sz="20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4"/>
          <c:order val="0"/>
          <c:tx>
            <c:strRef>
              <c:f>Monthly_Forecast!$A$13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Monthly_Forecast!$B$1:$Y$1</c:f>
              <c:numCache>
                <c:formatCode>[$-409]mmm\-yy;@</c:formatCode>
                <c:ptCount val="2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</c:numCache>
            </c:numRef>
          </c:cat>
          <c:val>
            <c:numRef>
              <c:f>Monthly_Forecast!$B$13:$Y$13</c:f>
              <c:numCache>
                <c:formatCode>_(* #,##0_);_(* \(#,##0\);_(* "-"??_);_(@_)</c:formatCode>
                <c:ptCount val="24"/>
                <c:pt idx="0">
                  <c:v>420000</c:v>
                </c:pt>
                <c:pt idx="1">
                  <c:v>443100.00000000006</c:v>
                </c:pt>
                <c:pt idx="2">
                  <c:v>467470.50000000017</c:v>
                </c:pt>
                <c:pt idx="3">
                  <c:v>493181.37750000024</c:v>
                </c:pt>
                <c:pt idx="4">
                  <c:v>520306.35326250031</c:v>
                </c:pt>
                <c:pt idx="5">
                  <c:v>548923.20269193791</c:v>
                </c:pt>
                <c:pt idx="6">
                  <c:v>579113.97883999452</c:v>
                </c:pt>
                <c:pt idx="7">
                  <c:v>610965.2476761943</c:v>
                </c:pt>
                <c:pt idx="8">
                  <c:v>644568.33629838517</c:v>
                </c:pt>
                <c:pt idx="9">
                  <c:v>680019.59479479643</c:v>
                </c:pt>
                <c:pt idx="10">
                  <c:v>717420.67250851041</c:v>
                </c:pt>
                <c:pt idx="11">
                  <c:v>756878.80949647853</c:v>
                </c:pt>
                <c:pt idx="12">
                  <c:v>798507.14401878498</c:v>
                </c:pt>
                <c:pt idx="13">
                  <c:v>842425.0369398183</c:v>
                </c:pt>
                <c:pt idx="14">
                  <c:v>888758.41397150839</c:v>
                </c:pt>
                <c:pt idx="15">
                  <c:v>937640.12673994142</c:v>
                </c:pt>
                <c:pt idx="16">
                  <c:v>989210.33371063834</c:v>
                </c:pt>
                <c:pt idx="17">
                  <c:v>1043616.9020647235</c:v>
                </c:pt>
                <c:pt idx="18">
                  <c:v>1101015.8316782836</c:v>
                </c:pt>
                <c:pt idx="19">
                  <c:v>1161571.7024205893</c:v>
                </c:pt>
                <c:pt idx="20">
                  <c:v>1225458.1460537219</c:v>
                </c:pt>
                <c:pt idx="21">
                  <c:v>1292858.3440866768</c:v>
                </c:pt>
                <c:pt idx="22">
                  <c:v>1363965.5530114442</c:v>
                </c:pt>
                <c:pt idx="23">
                  <c:v>1438983.6584270739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36-4AD4-849F-FC2690A2B91D}"/>
            </c:ext>
          </c:extLst>
        </c:ser>
        <c:ser>
          <c:idx val="0"/>
          <c:order val="1"/>
          <c:tx>
            <c:strRef>
              <c:f>Monthly_Forecast!$A$14</c:f>
              <c:strCache>
                <c:ptCount val="1"/>
                <c:pt idx="0">
                  <c:v>Total Costs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Monthly_Forecast!$B$1:$Y$1</c:f>
              <c:numCache>
                <c:formatCode>[$-409]mmm\-yy;@</c:formatCode>
                <c:ptCount val="2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</c:numCache>
            </c:numRef>
          </c:cat>
          <c:val>
            <c:numRef>
              <c:f>Monthly_Forecast!$B$14:$Y$14</c:f>
              <c:numCache>
                <c:formatCode>_(* #,##0_);_(* \(#,##0\);_(* "-"??_);_(@_)</c:formatCode>
                <c:ptCount val="24"/>
                <c:pt idx="0">
                  <c:v>1000400</c:v>
                </c:pt>
                <c:pt idx="1">
                  <c:v>1047482</c:v>
                </c:pt>
                <c:pt idx="2">
                  <c:v>1094843.51</c:v>
                </c:pt>
                <c:pt idx="3">
                  <c:v>1142499.9030500001</c:v>
                </c:pt>
                <c:pt idx="4">
                  <c:v>1190467.3977177502</c:v>
                </c:pt>
                <c:pt idx="5">
                  <c:v>1238763.1045922264</c:v>
                </c:pt>
                <c:pt idx="6">
                  <c:v>1287405.0753447989</c:v>
                </c:pt>
                <c:pt idx="7">
                  <c:v>1336412.3544887628</c:v>
                </c:pt>
                <c:pt idx="8">
                  <c:v>1385805.0339856448</c:v>
                </c:pt>
                <c:pt idx="9">
                  <c:v>1435604.3108548552</c:v>
                </c:pt>
                <c:pt idx="10">
                  <c:v>1485832.5479518722</c:v>
                </c:pt>
                <c:pt idx="11">
                  <c:v>1536513.3380892253</c:v>
                </c:pt>
                <c:pt idx="12">
                  <c:v>1587671.5716841328</c:v>
                </c:pt>
                <c:pt idx="13">
                  <c:v>1639333.5081267599</c:v>
                </c:pt>
                <c:pt idx="14">
                  <c:v>1691526.8510737319</c:v>
                </c:pt>
                <c:pt idx="15">
                  <c:v>1744280.8278827872</c:v>
                </c:pt>
                <c:pt idx="16">
                  <c:v>1797626.2734163404</c:v>
                </c:pt>
                <c:pt idx="17">
                  <c:v>1851595.7184542392</c:v>
                </c:pt>
                <c:pt idx="18">
                  <c:v>1906223.4829692224</c:v>
                </c:pt>
                <c:pt idx="19">
                  <c:v>1961545.7745325295</c:v>
                </c:pt>
                <c:pt idx="20">
                  <c:v>2017600.7921318188</c:v>
                </c:pt>
                <c:pt idx="21">
                  <c:v>2074428.8356990688</c:v>
                </c:pt>
                <c:pt idx="22">
                  <c:v>2132072.4216625178</c:v>
                </c:pt>
                <c:pt idx="23">
                  <c:v>2190576.4048539563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36-4AD4-849F-FC2690A2B91D}"/>
            </c:ext>
          </c:extLst>
        </c:ser>
        <c:ser>
          <c:idx val="1"/>
          <c:order val="2"/>
          <c:tx>
            <c:strRef>
              <c:f>Monthly_Forecast!$A$15</c:f>
              <c:strCache>
                <c:ptCount val="1"/>
                <c:pt idx="0">
                  <c:v>Net Burn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Monthly_Forecast!$B$1:$Y$1</c:f>
              <c:numCache>
                <c:formatCode>[$-409]mmm\-yy;@</c:formatCode>
                <c:ptCount val="2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</c:numCache>
            </c:numRef>
          </c:cat>
          <c:val>
            <c:numRef>
              <c:f>Monthly_Forecast!$B$15:$Y$15</c:f>
              <c:numCache>
                <c:formatCode>_(* #,##0_);_(* \(#,##0\);_(* "-"??_);_(@_)</c:formatCode>
                <c:ptCount val="24"/>
                <c:pt idx="0">
                  <c:v>-580400</c:v>
                </c:pt>
                <c:pt idx="1">
                  <c:v>-604382</c:v>
                </c:pt>
                <c:pt idx="2">
                  <c:v>-627373.00999999978</c:v>
                </c:pt>
                <c:pt idx="3">
                  <c:v>-649318.5255499999</c:v>
                </c:pt>
                <c:pt idx="4">
                  <c:v>-670161.04445524979</c:v>
                </c:pt>
                <c:pt idx="5">
                  <c:v>-689839.90190028853</c:v>
                </c:pt>
                <c:pt idx="6">
                  <c:v>-708291.09650480433</c:v>
                </c:pt>
                <c:pt idx="7">
                  <c:v>-725447.1068125685</c:v>
                </c:pt>
                <c:pt idx="8">
                  <c:v>-741236.69768725964</c:v>
                </c:pt>
                <c:pt idx="9">
                  <c:v>-755584.7160600588</c:v>
                </c:pt>
                <c:pt idx="10">
                  <c:v>-768411.87544336182</c:v>
                </c:pt>
                <c:pt idx="11">
                  <c:v>-779634.52859274682</c:v>
                </c:pt>
                <c:pt idx="12">
                  <c:v>-789164.42766534782</c:v>
                </c:pt>
                <c:pt idx="13">
                  <c:v>-796908.47118694161</c:v>
                </c:pt>
                <c:pt idx="14">
                  <c:v>-802768.43710222351</c:v>
                </c:pt>
                <c:pt idx="15">
                  <c:v>-806640.70114284579</c:v>
                </c:pt>
                <c:pt idx="16">
                  <c:v>-808415.93970570201</c:v>
                </c:pt>
                <c:pt idx="17">
                  <c:v>-807978.81638951565</c:v>
                </c:pt>
                <c:pt idx="18">
                  <c:v>-805207.65129093872</c:v>
                </c:pt>
                <c:pt idx="19">
                  <c:v>-799974.07211194024</c:v>
                </c:pt>
                <c:pt idx="20">
                  <c:v>-792142.64607809694</c:v>
                </c:pt>
                <c:pt idx="21">
                  <c:v>-781570.49161239201</c:v>
                </c:pt>
                <c:pt idx="22">
                  <c:v>-768106.86865107366</c:v>
                </c:pt>
                <c:pt idx="23">
                  <c:v>-751592.74642688246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36-4AD4-849F-FC2690A2B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236176"/>
        <c:axId val="1602235696"/>
      </c:lineChart>
      <c:dateAx>
        <c:axId val="1602236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20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[$-409]mmm\-yy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35696"/>
        <c:crosses val="autoZero"/>
        <c:auto val="1"/>
        <c:lblOffset val="100"/>
        <c:baseTimeUnit val="months"/>
      </c:dateAx>
      <c:valAx>
        <c:axId val="1602235696"/>
        <c:scaling>
          <c:orientation val="minMax"/>
          <c:max val="3000000"/>
          <c:min val="-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20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Revenue</a:t>
                </a:r>
                <a:r>
                  <a:rPr lang="en-US" sz="1200" b="1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 VS Costs VS Net Burn</a:t>
                </a:r>
                <a:endParaRPr lang="en-US" sz="12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36176"/>
        <c:crosses val="autoZero"/>
        <c:crossBetween val="midCat"/>
        <c:dispUnits>
          <c:builtInUnit val="millions"/>
          <c:dispUnitsLbl>
            <c:layout>
              <c:manualLayout>
                <c:xMode val="edge"/>
                <c:yMode val="edge"/>
                <c:x val="3.6452794877548302E-2"/>
                <c:y val="0.43606862208270902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0333447701860659"/>
          <c:y val="0.94624403732485551"/>
          <c:w val="9.666553282079457E-2"/>
          <c:h val="3.6601423724575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45357</xdr:rowOff>
    </xdr:from>
    <xdr:to>
      <xdr:col>13</xdr:col>
      <xdr:colOff>66222</xdr:colOff>
      <xdr:row>21</xdr:row>
      <xdr:rowOff>64860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A3FF0-66C3-4796-AC7A-8AC1E7F21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21</xdr:row>
      <xdr:rowOff>173264</xdr:rowOff>
    </xdr:from>
    <xdr:to>
      <xdr:col>12</xdr:col>
      <xdr:colOff>532947</xdr:colOff>
      <xdr:row>43</xdr:row>
      <xdr:rowOff>136071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C2F8B1-79D1-4EFE-ACA0-2218A009A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92373</xdr:colOff>
      <xdr:row>5</xdr:row>
      <xdr:rowOff>17553</xdr:rowOff>
    </xdr:from>
    <xdr:to>
      <xdr:col>29</xdr:col>
      <xdr:colOff>120606</xdr:colOff>
      <xdr:row>37</xdr:row>
      <xdr:rowOff>49015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045B6F-F934-4456-A162-9FF4357E9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D3321F-2C25-4869-A103-6479AFBE488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f1c6259-0ba1-4b17-a572-49be82f9e46d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E628-AA1A-4186-959E-DE1D5EEAE32B}">
  <dimension ref="A1:B19"/>
  <sheetViews>
    <sheetView topLeftCell="A4" workbookViewId="0">
      <selection activeCell="E10" sqref="E10"/>
    </sheetView>
  </sheetViews>
  <sheetFormatPr defaultRowHeight="14.5" x14ac:dyDescent="0.35"/>
  <cols>
    <col min="1" max="1" width="37.453125" bestFit="1" customWidth="1"/>
    <col min="2" max="2" width="12.7265625" style="2" bestFit="1" customWidth="1"/>
  </cols>
  <sheetData>
    <row r="1" spans="1:2" x14ac:dyDescent="0.35">
      <c r="A1" t="s">
        <v>0</v>
      </c>
    </row>
    <row r="3" spans="1:2" x14ac:dyDescent="0.35">
      <c r="A3" t="s">
        <v>1</v>
      </c>
    </row>
    <row r="4" spans="1:2" x14ac:dyDescent="0.35">
      <c r="A4" t="s">
        <v>2</v>
      </c>
      <c r="B4" s="5">
        <v>420000</v>
      </c>
    </row>
    <row r="5" spans="1:2" x14ac:dyDescent="0.35">
      <c r="A5" t="s">
        <v>3</v>
      </c>
      <c r="B5" s="4">
        <v>0.08</v>
      </c>
    </row>
    <row r="6" spans="1:2" x14ac:dyDescent="0.35">
      <c r="A6" t="s">
        <v>4</v>
      </c>
      <c r="B6" s="4">
        <v>2.5000000000000001E-2</v>
      </c>
    </row>
    <row r="7" spans="1:2" x14ac:dyDescent="0.35">
      <c r="A7" t="s">
        <v>5</v>
      </c>
      <c r="B7" s="2">
        <v>280</v>
      </c>
    </row>
    <row r="8" spans="1:2" x14ac:dyDescent="0.35">
      <c r="A8" t="s">
        <v>6</v>
      </c>
      <c r="B8" s="2">
        <v>1500</v>
      </c>
    </row>
    <row r="10" spans="1:2" x14ac:dyDescent="0.35">
      <c r="A10" t="s">
        <v>7</v>
      </c>
    </row>
    <row r="11" spans="1:2" x14ac:dyDescent="0.35">
      <c r="A11" t="s">
        <v>8</v>
      </c>
      <c r="B11" s="3">
        <v>0.78</v>
      </c>
    </row>
    <row r="12" spans="1:2" x14ac:dyDescent="0.35">
      <c r="A12" t="s">
        <v>9</v>
      </c>
      <c r="B12" s="2">
        <v>52</v>
      </c>
    </row>
    <row r="13" spans="1:2" x14ac:dyDescent="0.35">
      <c r="A13" t="s">
        <v>10</v>
      </c>
      <c r="B13" s="2">
        <v>14000</v>
      </c>
    </row>
    <row r="14" spans="1:2" x14ac:dyDescent="0.35">
      <c r="A14" s="2" t="s">
        <v>11</v>
      </c>
      <c r="B14" s="2">
        <v>180000</v>
      </c>
    </row>
    <row r="15" spans="1:2" x14ac:dyDescent="0.35">
      <c r="A15" t="s">
        <v>12</v>
      </c>
      <c r="B15" s="2">
        <v>3</v>
      </c>
    </row>
    <row r="17" spans="1:2" x14ac:dyDescent="0.35">
      <c r="A17" t="s">
        <v>13</v>
      </c>
    </row>
    <row r="18" spans="1:2" x14ac:dyDescent="0.35">
      <c r="A18" t="s">
        <v>14</v>
      </c>
      <c r="B18" s="2">
        <v>11500000</v>
      </c>
    </row>
    <row r="19" spans="1:2" x14ac:dyDescent="0.35">
      <c r="A19" t="s">
        <v>15</v>
      </c>
      <c r="B19" s="2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1623-6C01-4A4D-9EB2-615828A6980F}">
  <dimension ref="A1:Y16"/>
  <sheetViews>
    <sheetView tabSelected="1" zoomScale="80" zoomScaleNormal="80" workbookViewId="0">
      <selection activeCell="K39" sqref="K39"/>
    </sheetView>
  </sheetViews>
  <sheetFormatPr defaultRowHeight="14.5" x14ac:dyDescent="0.35"/>
  <cols>
    <col min="1" max="1" width="22.7265625" bestFit="1" customWidth="1"/>
    <col min="2" max="2" width="12.54296875" bestFit="1" customWidth="1"/>
    <col min="3" max="3" width="20.453125" style="6" bestFit="1" customWidth="1"/>
    <col min="4" max="5" width="20.54296875" bestFit="1" customWidth="1"/>
    <col min="6" max="7" width="20.36328125" bestFit="1" customWidth="1"/>
    <col min="8" max="9" width="20.54296875" bestFit="1" customWidth="1"/>
    <col min="10" max="10" width="20.08984375" bestFit="1" customWidth="1"/>
    <col min="11" max="11" width="20.26953125" bestFit="1" customWidth="1"/>
    <col min="12" max="13" width="20.36328125" bestFit="1" customWidth="1"/>
    <col min="14" max="14" width="20.6328125" bestFit="1" customWidth="1"/>
    <col min="15" max="16" width="20.54296875" bestFit="1" customWidth="1"/>
    <col min="17" max="17" width="20.453125" bestFit="1" customWidth="1"/>
    <col min="18" max="18" width="20.54296875" bestFit="1" customWidth="1"/>
    <col min="19" max="19" width="20.453125" bestFit="1" customWidth="1"/>
    <col min="20" max="21" width="20.36328125" bestFit="1" customWidth="1"/>
    <col min="22" max="22" width="20.54296875" bestFit="1" customWidth="1"/>
    <col min="23" max="23" width="20.453125" bestFit="1" customWidth="1"/>
    <col min="24" max="24" width="20.7265625" bestFit="1" customWidth="1"/>
    <col min="25" max="25" width="20.36328125" bestFit="1" customWidth="1"/>
  </cols>
  <sheetData>
    <row r="1" spans="1:25" x14ac:dyDescent="0.35">
      <c r="B1" s="8">
        <f>DATE(2026,1,1)</f>
        <v>46023</v>
      </c>
      <c r="C1" s="8">
        <f>EDATE(B1,1)</f>
        <v>46054</v>
      </c>
      <c r="D1" s="8">
        <f t="shared" ref="D1:M1" si="0">EDATE(C1,1)</f>
        <v>46082</v>
      </c>
      <c r="E1" s="8">
        <f t="shared" si="0"/>
        <v>46113</v>
      </c>
      <c r="F1" s="8">
        <f t="shared" si="0"/>
        <v>46143</v>
      </c>
      <c r="G1" s="8">
        <f t="shared" si="0"/>
        <v>46174</v>
      </c>
      <c r="H1" s="8">
        <f t="shared" si="0"/>
        <v>46204</v>
      </c>
      <c r="I1" s="8">
        <f t="shared" si="0"/>
        <v>46235</v>
      </c>
      <c r="J1" s="8">
        <f t="shared" si="0"/>
        <v>46266</v>
      </c>
      <c r="K1" s="8">
        <f t="shared" si="0"/>
        <v>46296</v>
      </c>
      <c r="L1" s="8">
        <f t="shared" si="0"/>
        <v>46327</v>
      </c>
      <c r="M1" s="8">
        <f t="shared" si="0"/>
        <v>46357</v>
      </c>
      <c r="N1" s="8">
        <f t="shared" ref="N1:V1" si="1">EDATE(M1,1)</f>
        <v>46388</v>
      </c>
      <c r="O1" s="8">
        <f t="shared" si="1"/>
        <v>46419</v>
      </c>
      <c r="P1" s="8">
        <f t="shared" si="1"/>
        <v>46447</v>
      </c>
      <c r="Q1" s="8">
        <f t="shared" si="1"/>
        <v>46478</v>
      </c>
      <c r="R1" s="8">
        <f t="shared" si="1"/>
        <v>46508</v>
      </c>
      <c r="S1" s="8">
        <f t="shared" si="1"/>
        <v>46539</v>
      </c>
      <c r="T1" s="8">
        <f t="shared" si="1"/>
        <v>46569</v>
      </c>
      <c r="U1" s="8">
        <f t="shared" si="1"/>
        <v>46600</v>
      </c>
      <c r="V1" s="8">
        <f t="shared" si="1"/>
        <v>46631</v>
      </c>
      <c r="W1" s="8">
        <f t="shared" ref="W1:Y1" si="2">EDATE(V1,1)</f>
        <v>46661</v>
      </c>
      <c r="X1" s="8">
        <f t="shared" si="2"/>
        <v>46692</v>
      </c>
      <c r="Y1" s="8">
        <f t="shared" si="2"/>
        <v>46722</v>
      </c>
    </row>
    <row r="2" spans="1:25" x14ac:dyDescent="0.35">
      <c r="A2" t="s">
        <v>26</v>
      </c>
      <c r="B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35">
      <c r="A3" t="s">
        <v>16</v>
      </c>
      <c r="B3" s="2">
        <f>Assumptions!B7</f>
        <v>280</v>
      </c>
      <c r="C3" s="2">
        <f>B3*(1+Assumptions!$B$5-Assumptions!$B$6)</f>
        <v>295.40000000000003</v>
      </c>
      <c r="D3" s="2">
        <f>C3*(1+Assumptions!$B$5-Assumptions!$B$6)</f>
        <v>311.64700000000011</v>
      </c>
      <c r="E3" s="2">
        <f>D3*(1+Assumptions!$B$5-Assumptions!$B$6)</f>
        <v>328.78758500000015</v>
      </c>
      <c r="F3" s="2">
        <f>E3*(1+Assumptions!$B$5-Assumptions!$B$6)</f>
        <v>346.8709021750002</v>
      </c>
      <c r="G3" s="2">
        <f>F3*(1+Assumptions!$B$5-Assumptions!$B$6)</f>
        <v>365.94880179462524</v>
      </c>
      <c r="H3" s="2">
        <f>G3*(1+Assumptions!$B$5-Assumptions!$B$6)</f>
        <v>386.07598589332969</v>
      </c>
      <c r="I3" s="2">
        <f>H3*(1+Assumptions!$B$5-Assumptions!$B$6)</f>
        <v>407.31016511746287</v>
      </c>
      <c r="J3" s="2">
        <f>I3*(1+Assumptions!$B$5-Assumptions!$B$6)</f>
        <v>429.71222419892342</v>
      </c>
      <c r="K3" s="2">
        <f>J3*(1+Assumptions!$B$5-Assumptions!$B$6)</f>
        <v>453.34639652986431</v>
      </c>
      <c r="L3" s="2">
        <f>K3*(1+Assumptions!$B$5-Assumptions!$B$6)</f>
        <v>478.28044833900691</v>
      </c>
      <c r="M3" s="2">
        <f>L3*(1+Assumptions!$B$5-Assumptions!$B$6)</f>
        <v>504.58587299765236</v>
      </c>
      <c r="N3" s="2">
        <f>M3*(1+Assumptions!$B$5-Assumptions!$B$6)</f>
        <v>532.33809601252335</v>
      </c>
      <c r="O3" s="2">
        <f>N3*(1+Assumptions!$B$5-Assumptions!$B$6)</f>
        <v>561.61669129321217</v>
      </c>
      <c r="P3" s="2">
        <f>O3*(1+Assumptions!$B$5-Assumptions!$B$6)</f>
        <v>592.50560931433893</v>
      </c>
      <c r="Q3" s="2">
        <f>P3*(1+Assumptions!$B$5-Assumptions!$B$6)</f>
        <v>625.09341782662761</v>
      </c>
      <c r="R3" s="2">
        <f>Q3*(1+Assumptions!$B$5-Assumptions!$B$6)</f>
        <v>659.47355580709223</v>
      </c>
      <c r="S3" s="2">
        <f>R3*(1+Assumptions!$B$5-Assumptions!$B$6)</f>
        <v>695.74460137648236</v>
      </c>
      <c r="T3" s="2">
        <f>S3*(1+Assumptions!$B$5-Assumptions!$B$6)</f>
        <v>734.01055445218901</v>
      </c>
      <c r="U3" s="2">
        <f>T3*(1+Assumptions!$B$5-Assumptions!$B$6)</f>
        <v>774.38113494705954</v>
      </c>
      <c r="V3" s="2">
        <f>U3*(1+Assumptions!$B$5-Assumptions!$B$6)</f>
        <v>816.97209736914795</v>
      </c>
      <c r="W3" s="2">
        <f>V3*(1+Assumptions!$B$5-Assumptions!$B$6)</f>
        <v>861.90556272445122</v>
      </c>
      <c r="X3" s="2">
        <f>W3*(1+Assumptions!$B$5-Assumptions!$B$6)</f>
        <v>909.31036867429611</v>
      </c>
      <c r="Y3" s="2">
        <f>X3*(1+Assumptions!$B$5-Assumptions!$B$6)</f>
        <v>959.32243895138254</v>
      </c>
    </row>
    <row r="4" spans="1:25" x14ac:dyDescent="0.35">
      <c r="A4" t="s">
        <v>17</v>
      </c>
      <c r="B4" s="2">
        <f>B3*Assumptions!$B$8</f>
        <v>420000</v>
      </c>
      <c r="C4" s="2">
        <f>C3*Assumptions!$B$8</f>
        <v>443100.00000000006</v>
      </c>
      <c r="D4" s="2">
        <f>D3*Assumptions!$B$8</f>
        <v>467470.50000000017</v>
      </c>
      <c r="E4" s="2">
        <f>E3*Assumptions!$B$8</f>
        <v>493181.37750000024</v>
      </c>
      <c r="F4" s="2">
        <f>F3*Assumptions!$B$8</f>
        <v>520306.35326250031</v>
      </c>
      <c r="G4" s="2">
        <f>G3*Assumptions!$B$8</f>
        <v>548923.20269193791</v>
      </c>
      <c r="H4" s="2">
        <f>H3*Assumptions!$B$8</f>
        <v>579113.97883999452</v>
      </c>
      <c r="I4" s="2">
        <f>I3*Assumptions!$B$8</f>
        <v>610965.2476761943</v>
      </c>
      <c r="J4" s="2">
        <f>J3*Assumptions!$B$8</f>
        <v>644568.33629838517</v>
      </c>
      <c r="K4" s="2">
        <f>K3*Assumptions!$B$8</f>
        <v>680019.59479479643</v>
      </c>
      <c r="L4" s="2">
        <f>L3*Assumptions!$B$8</f>
        <v>717420.67250851041</v>
      </c>
      <c r="M4" s="2">
        <f>M3*Assumptions!$B$8</f>
        <v>756878.80949647853</v>
      </c>
      <c r="N4" s="2">
        <f>N3*Assumptions!$B$8</f>
        <v>798507.14401878498</v>
      </c>
      <c r="O4" s="2">
        <f>O3*Assumptions!$B$8</f>
        <v>842425.0369398183</v>
      </c>
      <c r="P4" s="2">
        <f>P3*Assumptions!$B$8</f>
        <v>888758.41397150839</v>
      </c>
      <c r="Q4" s="2">
        <f>Q3*Assumptions!$B$8</f>
        <v>937640.12673994142</v>
      </c>
      <c r="R4" s="2">
        <f>R3*Assumptions!$B$8</f>
        <v>989210.33371063834</v>
      </c>
      <c r="S4" s="2">
        <f>S3*Assumptions!$B$8</f>
        <v>1043616.9020647235</v>
      </c>
      <c r="T4" s="2">
        <f>T3*Assumptions!$B$8</f>
        <v>1101015.8316782836</v>
      </c>
      <c r="U4" s="2">
        <f>U3*Assumptions!$B$8</f>
        <v>1161571.7024205893</v>
      </c>
      <c r="V4" s="2">
        <f>V3*Assumptions!$B$8</f>
        <v>1225458.1460537219</v>
      </c>
      <c r="W4" s="2">
        <f>W3*Assumptions!$B$8</f>
        <v>1292858.3440866768</v>
      </c>
      <c r="X4" s="2">
        <f>X3*Assumptions!$B$8</f>
        <v>1363965.5530114442</v>
      </c>
      <c r="Y4" s="2">
        <f>Y3*Assumptions!$B$8</f>
        <v>1438983.6584270739</v>
      </c>
    </row>
    <row r="6" spans="1:25" x14ac:dyDescent="0.35">
      <c r="A6" t="s">
        <v>27</v>
      </c>
    </row>
    <row r="7" spans="1:25" x14ac:dyDescent="0.35">
      <c r="A7" t="s">
        <v>18</v>
      </c>
      <c r="B7" s="2">
        <f>Assumptions!B12</f>
        <v>52</v>
      </c>
      <c r="C7" s="2">
        <f>B7+Assumptions!$B$15</f>
        <v>55</v>
      </c>
      <c r="D7" s="2">
        <f>C7+Assumptions!$B$15</f>
        <v>58</v>
      </c>
      <c r="E7" s="2">
        <f>D7+Assumptions!$B$15</f>
        <v>61</v>
      </c>
      <c r="F7" s="2">
        <f>E7+Assumptions!$B$15</f>
        <v>64</v>
      </c>
      <c r="G7" s="2">
        <f>F7+Assumptions!$B$15</f>
        <v>67</v>
      </c>
      <c r="H7" s="2">
        <f>G7+Assumptions!$B$15</f>
        <v>70</v>
      </c>
      <c r="I7" s="2">
        <f>H7+Assumptions!$B$15</f>
        <v>73</v>
      </c>
      <c r="J7" s="2">
        <f>I7+Assumptions!$B$15</f>
        <v>76</v>
      </c>
      <c r="K7" s="2">
        <f>J7+Assumptions!$B$15</f>
        <v>79</v>
      </c>
      <c r="L7" s="2">
        <f>K7+Assumptions!$B$15</f>
        <v>82</v>
      </c>
      <c r="M7" s="2">
        <f>L7+Assumptions!$B$15</f>
        <v>85</v>
      </c>
      <c r="N7" s="2">
        <f>M7+Assumptions!$B$15</f>
        <v>88</v>
      </c>
      <c r="O7" s="2">
        <f>N7+Assumptions!$B$15</f>
        <v>91</v>
      </c>
      <c r="P7" s="2">
        <f>O7+Assumptions!$B$15</f>
        <v>94</v>
      </c>
      <c r="Q7" s="2">
        <f>P7+Assumptions!$B$15</f>
        <v>97</v>
      </c>
      <c r="R7" s="2">
        <f>Q7+Assumptions!$B$15</f>
        <v>100</v>
      </c>
      <c r="S7" s="2">
        <f>R7+Assumptions!$B$15</f>
        <v>103</v>
      </c>
      <c r="T7" s="2">
        <f>S7+Assumptions!$B$15</f>
        <v>106</v>
      </c>
      <c r="U7" s="2">
        <f>T7+Assumptions!$B$15</f>
        <v>109</v>
      </c>
      <c r="V7" s="2">
        <f>U7+Assumptions!$B$15</f>
        <v>112</v>
      </c>
      <c r="W7" s="2">
        <f>V7+Assumptions!$B$15</f>
        <v>115</v>
      </c>
      <c r="X7" s="2">
        <f>W7+Assumptions!$B$15</f>
        <v>118</v>
      </c>
      <c r="Y7" s="2">
        <f>X7+Assumptions!$B$15</f>
        <v>121</v>
      </c>
    </row>
    <row r="8" spans="1:25" x14ac:dyDescent="0.35">
      <c r="A8" t="s">
        <v>19</v>
      </c>
      <c r="B8" s="7">
        <f>B7*Assumptions!$B$13</f>
        <v>728000</v>
      </c>
      <c r="C8" s="7">
        <f>C7*Assumptions!$B$13</f>
        <v>770000</v>
      </c>
      <c r="D8" s="7">
        <f>D7*Assumptions!$B$13</f>
        <v>812000</v>
      </c>
      <c r="E8" s="7">
        <f>E7*Assumptions!$B$13</f>
        <v>854000</v>
      </c>
      <c r="F8" s="7">
        <f>F7*Assumptions!$B$13</f>
        <v>896000</v>
      </c>
      <c r="G8" s="7">
        <f>G7*Assumptions!$B$13</f>
        <v>938000</v>
      </c>
      <c r="H8" s="7">
        <f>H7*Assumptions!$B$13</f>
        <v>980000</v>
      </c>
      <c r="I8" s="7">
        <f>I7*Assumptions!$B$13</f>
        <v>1022000</v>
      </c>
      <c r="J8" s="7">
        <f>J7*Assumptions!$B$13</f>
        <v>1064000</v>
      </c>
      <c r="K8" s="7">
        <f>K7*Assumptions!$B$13</f>
        <v>1106000</v>
      </c>
      <c r="L8" s="7">
        <f>L7*Assumptions!$B$13</f>
        <v>1148000</v>
      </c>
      <c r="M8" s="7">
        <f>M7*Assumptions!$B$13</f>
        <v>1190000</v>
      </c>
      <c r="N8" s="7">
        <f>N7*Assumptions!$B$13</f>
        <v>1232000</v>
      </c>
      <c r="O8" s="7">
        <f>O7*Assumptions!$B$13</f>
        <v>1274000</v>
      </c>
      <c r="P8" s="7">
        <f>P7*Assumptions!$B$13</f>
        <v>1316000</v>
      </c>
      <c r="Q8" s="7">
        <f>Q7*Assumptions!$B$13</f>
        <v>1358000</v>
      </c>
      <c r="R8" s="7">
        <f>R7*Assumptions!$B$13</f>
        <v>1400000</v>
      </c>
      <c r="S8" s="7">
        <f>S7*Assumptions!$B$13</f>
        <v>1442000</v>
      </c>
      <c r="T8" s="7">
        <f>T7*Assumptions!$B$13</f>
        <v>1484000</v>
      </c>
      <c r="U8" s="7">
        <f>U7*Assumptions!$B$13</f>
        <v>1526000</v>
      </c>
      <c r="V8" s="7">
        <f>V7*Assumptions!$B$13</f>
        <v>1568000</v>
      </c>
      <c r="W8" s="7">
        <f>W7*Assumptions!$B$13</f>
        <v>1610000</v>
      </c>
      <c r="X8" s="7">
        <f>X7*Assumptions!$B$13</f>
        <v>1652000</v>
      </c>
      <c r="Y8" s="7">
        <f>Y7*Assumptions!$B$13</f>
        <v>1694000</v>
      </c>
    </row>
    <row r="9" spans="1:25" x14ac:dyDescent="0.35">
      <c r="A9" t="s">
        <v>20</v>
      </c>
      <c r="B9" s="2">
        <f>Assumptions!$B$14</f>
        <v>180000</v>
      </c>
      <c r="C9" s="2">
        <f>Assumptions!$B$14</f>
        <v>180000</v>
      </c>
      <c r="D9" s="2">
        <f>Assumptions!$B$14</f>
        <v>180000</v>
      </c>
      <c r="E9" s="2">
        <f>Assumptions!$B$14</f>
        <v>180000</v>
      </c>
      <c r="F9" s="2">
        <f>Assumptions!$B$14</f>
        <v>180000</v>
      </c>
      <c r="G9" s="2">
        <f>Assumptions!$B$14</f>
        <v>180000</v>
      </c>
      <c r="H9" s="2">
        <f>Assumptions!$B$14</f>
        <v>180000</v>
      </c>
      <c r="I9" s="2">
        <f>Assumptions!$B$14</f>
        <v>180000</v>
      </c>
      <c r="J9" s="2">
        <f>Assumptions!$B$14</f>
        <v>180000</v>
      </c>
      <c r="K9" s="2">
        <f>Assumptions!$B$14</f>
        <v>180000</v>
      </c>
      <c r="L9" s="2">
        <f>Assumptions!$B$14</f>
        <v>180000</v>
      </c>
      <c r="M9" s="2">
        <f>Assumptions!$B$14</f>
        <v>180000</v>
      </c>
      <c r="N9" s="2">
        <f>Assumptions!$B$14</f>
        <v>180000</v>
      </c>
      <c r="O9" s="2">
        <f>Assumptions!$B$14</f>
        <v>180000</v>
      </c>
      <c r="P9" s="2">
        <f>Assumptions!$B$14</f>
        <v>180000</v>
      </c>
      <c r="Q9" s="2">
        <f>Assumptions!$B$14</f>
        <v>180000</v>
      </c>
      <c r="R9" s="2">
        <f>Assumptions!$B$14</f>
        <v>180000</v>
      </c>
      <c r="S9" s="2">
        <f>Assumptions!$B$14</f>
        <v>180000</v>
      </c>
      <c r="T9" s="2">
        <f>Assumptions!$B$14</f>
        <v>180000</v>
      </c>
      <c r="U9" s="2">
        <f>Assumptions!$B$14</f>
        <v>180000</v>
      </c>
      <c r="V9" s="2">
        <f>Assumptions!$B$14</f>
        <v>180000</v>
      </c>
      <c r="W9" s="2">
        <f>Assumptions!$B$14</f>
        <v>180000</v>
      </c>
      <c r="X9" s="2">
        <f>Assumptions!$B$14</f>
        <v>180000</v>
      </c>
      <c r="Y9" s="2">
        <f>Assumptions!$B$14</f>
        <v>180000</v>
      </c>
    </row>
    <row r="10" spans="1:25" x14ac:dyDescent="0.35">
      <c r="A10" t="s">
        <v>21</v>
      </c>
      <c r="B10" s="2">
        <f>B4*(1-Assumptions!$B$11)</f>
        <v>92399.999999999985</v>
      </c>
      <c r="C10" s="2">
        <f>C4*(1-Assumptions!$B$11)</f>
        <v>97482</v>
      </c>
      <c r="D10" s="2">
        <f>D4*(1-Assumptions!$B$11)</f>
        <v>102843.51000000002</v>
      </c>
      <c r="E10" s="2">
        <f>E4*(1-Assumptions!$B$11)</f>
        <v>108499.90305000004</v>
      </c>
      <c r="F10" s="2">
        <f>F4*(1-Assumptions!$B$11)</f>
        <v>114467.39771775005</v>
      </c>
      <c r="G10" s="2">
        <f>G4*(1-Assumptions!$B$11)</f>
        <v>120763.10459222633</v>
      </c>
      <c r="H10" s="2">
        <f>H4*(1-Assumptions!$B$11)</f>
        <v>127405.07534479878</v>
      </c>
      <c r="I10" s="2">
        <f>I4*(1-Assumptions!$B$11)</f>
        <v>134412.35448876274</v>
      </c>
      <c r="J10" s="2">
        <f>J4*(1-Assumptions!$B$11)</f>
        <v>141805.03398564472</v>
      </c>
      <c r="K10" s="2">
        <f>K4*(1-Assumptions!$B$11)</f>
        <v>149604.3108548552</v>
      </c>
      <c r="L10" s="2">
        <f>L4*(1-Assumptions!$B$11)</f>
        <v>157832.54795187229</v>
      </c>
      <c r="M10" s="2">
        <f>M4*(1-Assumptions!$B$11)</f>
        <v>166513.33808922526</v>
      </c>
      <c r="N10" s="2">
        <f>N4*(1-Assumptions!$B$11)</f>
        <v>175671.57168413268</v>
      </c>
      <c r="O10" s="2">
        <f>O4*(1-Assumptions!$B$11)</f>
        <v>185333.50812675999</v>
      </c>
      <c r="P10" s="2">
        <f>P4*(1-Assumptions!$B$11)</f>
        <v>195526.85107373181</v>
      </c>
      <c r="Q10" s="2">
        <f>Q4*(1-Assumptions!$B$11)</f>
        <v>206280.8278827871</v>
      </c>
      <c r="R10" s="2">
        <f>R4*(1-Assumptions!$B$11)</f>
        <v>217626.27341634041</v>
      </c>
      <c r="S10" s="2">
        <f>S4*(1-Assumptions!$B$11)</f>
        <v>229595.71845423916</v>
      </c>
      <c r="T10" s="2">
        <f>T4*(1-Assumptions!$B$11)</f>
        <v>242223.48296922236</v>
      </c>
      <c r="U10" s="2">
        <f>U4*(1-Assumptions!$B$11)</f>
        <v>255545.77453252961</v>
      </c>
      <c r="V10" s="2">
        <f>V4*(1-Assumptions!$B$11)</f>
        <v>269600.79213181877</v>
      </c>
      <c r="W10" s="2">
        <f>W4*(1-Assumptions!$B$11)</f>
        <v>284428.83569906885</v>
      </c>
      <c r="X10" s="2">
        <f>X4*(1-Assumptions!$B$11)</f>
        <v>300072.42166251771</v>
      </c>
      <c r="Y10" s="2">
        <f>Y4*(1-Assumptions!$B$11)</f>
        <v>316576.40485395619</v>
      </c>
    </row>
    <row r="12" spans="1:25" x14ac:dyDescent="0.35">
      <c r="A12" t="s">
        <v>28</v>
      </c>
    </row>
    <row r="13" spans="1:25" x14ac:dyDescent="0.35">
      <c r="A13" t="s">
        <v>22</v>
      </c>
      <c r="B13" s="7">
        <f>B4</f>
        <v>420000</v>
      </c>
      <c r="C13" s="7">
        <f t="shared" ref="C13:M13" si="3">C4</f>
        <v>443100.00000000006</v>
      </c>
      <c r="D13" s="7">
        <f t="shared" si="3"/>
        <v>467470.50000000017</v>
      </c>
      <c r="E13" s="7">
        <f t="shared" si="3"/>
        <v>493181.37750000024</v>
      </c>
      <c r="F13" s="7">
        <f t="shared" si="3"/>
        <v>520306.35326250031</v>
      </c>
      <c r="G13" s="7">
        <f t="shared" si="3"/>
        <v>548923.20269193791</v>
      </c>
      <c r="H13" s="7">
        <f t="shared" si="3"/>
        <v>579113.97883999452</v>
      </c>
      <c r="I13" s="7">
        <f t="shared" si="3"/>
        <v>610965.2476761943</v>
      </c>
      <c r="J13" s="7">
        <f t="shared" si="3"/>
        <v>644568.33629838517</v>
      </c>
      <c r="K13" s="7">
        <f t="shared" si="3"/>
        <v>680019.59479479643</v>
      </c>
      <c r="L13" s="7">
        <f t="shared" si="3"/>
        <v>717420.67250851041</v>
      </c>
      <c r="M13" s="7">
        <f t="shared" si="3"/>
        <v>756878.80949647853</v>
      </c>
      <c r="N13" s="7">
        <f t="shared" ref="N13:V13" si="4">N4</f>
        <v>798507.14401878498</v>
      </c>
      <c r="O13" s="7">
        <f t="shared" si="4"/>
        <v>842425.0369398183</v>
      </c>
      <c r="P13" s="7">
        <f t="shared" si="4"/>
        <v>888758.41397150839</v>
      </c>
      <c r="Q13" s="7">
        <f t="shared" si="4"/>
        <v>937640.12673994142</v>
      </c>
      <c r="R13" s="7">
        <f t="shared" si="4"/>
        <v>989210.33371063834</v>
      </c>
      <c r="S13" s="7">
        <f t="shared" si="4"/>
        <v>1043616.9020647235</v>
      </c>
      <c r="T13" s="7">
        <f t="shared" si="4"/>
        <v>1101015.8316782836</v>
      </c>
      <c r="U13" s="7">
        <f t="shared" si="4"/>
        <v>1161571.7024205893</v>
      </c>
      <c r="V13" s="7">
        <f t="shared" si="4"/>
        <v>1225458.1460537219</v>
      </c>
      <c r="W13" s="7">
        <f t="shared" ref="W13:Y13" si="5">W4</f>
        <v>1292858.3440866768</v>
      </c>
      <c r="X13" s="7">
        <f t="shared" si="5"/>
        <v>1363965.5530114442</v>
      </c>
      <c r="Y13" s="7">
        <f t="shared" si="5"/>
        <v>1438983.6584270739</v>
      </c>
    </row>
    <row r="14" spans="1:25" x14ac:dyDescent="0.35">
      <c r="A14" t="s">
        <v>23</v>
      </c>
      <c r="B14" s="7">
        <f>B8+B9+B10</f>
        <v>1000400</v>
      </c>
      <c r="C14" s="7">
        <f t="shared" ref="C14:M14" si="6">C8+C9+C10</f>
        <v>1047482</v>
      </c>
      <c r="D14" s="7">
        <f t="shared" si="6"/>
        <v>1094843.51</v>
      </c>
      <c r="E14" s="7">
        <f t="shared" si="6"/>
        <v>1142499.9030500001</v>
      </c>
      <c r="F14" s="7">
        <f t="shared" si="6"/>
        <v>1190467.3977177502</v>
      </c>
      <c r="G14" s="7">
        <f t="shared" si="6"/>
        <v>1238763.1045922264</v>
      </c>
      <c r="H14" s="7">
        <f t="shared" si="6"/>
        <v>1287405.0753447989</v>
      </c>
      <c r="I14" s="7">
        <f t="shared" si="6"/>
        <v>1336412.3544887628</v>
      </c>
      <c r="J14" s="7">
        <f t="shared" si="6"/>
        <v>1385805.0339856448</v>
      </c>
      <c r="K14" s="7">
        <f t="shared" si="6"/>
        <v>1435604.3108548552</v>
      </c>
      <c r="L14" s="7">
        <f t="shared" si="6"/>
        <v>1485832.5479518722</v>
      </c>
      <c r="M14" s="7">
        <f t="shared" si="6"/>
        <v>1536513.3380892253</v>
      </c>
      <c r="N14" s="7">
        <f t="shared" ref="N14:V14" si="7">N8+N9+N10</f>
        <v>1587671.5716841328</v>
      </c>
      <c r="O14" s="7">
        <f t="shared" si="7"/>
        <v>1639333.5081267599</v>
      </c>
      <c r="P14" s="7">
        <f t="shared" si="7"/>
        <v>1691526.8510737319</v>
      </c>
      <c r="Q14" s="7">
        <f t="shared" si="7"/>
        <v>1744280.8278827872</v>
      </c>
      <c r="R14" s="7">
        <f t="shared" si="7"/>
        <v>1797626.2734163404</v>
      </c>
      <c r="S14" s="7">
        <f t="shared" si="7"/>
        <v>1851595.7184542392</v>
      </c>
      <c r="T14" s="7">
        <f t="shared" si="7"/>
        <v>1906223.4829692224</v>
      </c>
      <c r="U14" s="7">
        <f t="shared" si="7"/>
        <v>1961545.7745325295</v>
      </c>
      <c r="V14" s="7">
        <f t="shared" si="7"/>
        <v>2017600.7921318188</v>
      </c>
      <c r="W14" s="7">
        <f t="shared" ref="W14:Y14" si="8">W8+W9+W10</f>
        <v>2074428.8356990688</v>
      </c>
      <c r="X14" s="7">
        <f t="shared" si="8"/>
        <v>2132072.4216625178</v>
      </c>
      <c r="Y14" s="7">
        <f t="shared" si="8"/>
        <v>2190576.4048539563</v>
      </c>
    </row>
    <row r="15" spans="1:25" x14ac:dyDescent="0.35">
      <c r="A15" t="s">
        <v>24</v>
      </c>
      <c r="B15" s="7">
        <f>B13-B14</f>
        <v>-580400</v>
      </c>
      <c r="C15" s="7">
        <f t="shared" ref="C15:M15" si="9">C13-C14</f>
        <v>-604382</v>
      </c>
      <c r="D15" s="7">
        <f t="shared" si="9"/>
        <v>-627373.00999999978</v>
      </c>
      <c r="E15" s="7">
        <f t="shared" si="9"/>
        <v>-649318.5255499999</v>
      </c>
      <c r="F15" s="7">
        <f t="shared" si="9"/>
        <v>-670161.04445524979</v>
      </c>
      <c r="G15" s="7">
        <f t="shared" si="9"/>
        <v>-689839.90190028853</v>
      </c>
      <c r="H15" s="7">
        <f t="shared" si="9"/>
        <v>-708291.09650480433</v>
      </c>
      <c r="I15" s="7">
        <f t="shared" si="9"/>
        <v>-725447.1068125685</v>
      </c>
      <c r="J15" s="7">
        <f t="shared" si="9"/>
        <v>-741236.69768725964</v>
      </c>
      <c r="K15" s="7">
        <f t="shared" si="9"/>
        <v>-755584.7160600588</v>
      </c>
      <c r="L15" s="7">
        <f t="shared" si="9"/>
        <v>-768411.87544336182</v>
      </c>
      <c r="M15" s="7">
        <f t="shared" si="9"/>
        <v>-779634.52859274682</v>
      </c>
      <c r="N15" s="7">
        <f t="shared" ref="N15" si="10">N13-N14</f>
        <v>-789164.42766534782</v>
      </c>
      <c r="O15" s="7">
        <f t="shared" ref="O15" si="11">O13-O14</f>
        <v>-796908.47118694161</v>
      </c>
      <c r="P15" s="7">
        <f t="shared" ref="P15" si="12">P13-P14</f>
        <v>-802768.43710222351</v>
      </c>
      <c r="Q15" s="7">
        <f t="shared" ref="Q15" si="13">Q13-Q14</f>
        <v>-806640.70114284579</v>
      </c>
      <c r="R15" s="7">
        <f t="shared" ref="R15" si="14">R13-R14</f>
        <v>-808415.93970570201</v>
      </c>
      <c r="S15" s="7">
        <f t="shared" ref="S15" si="15">S13-S14</f>
        <v>-807978.81638951565</v>
      </c>
      <c r="T15" s="7">
        <f t="shared" ref="T15" si="16">T13-T14</f>
        <v>-805207.65129093872</v>
      </c>
      <c r="U15" s="7">
        <f t="shared" ref="U15" si="17">U13-U14</f>
        <v>-799974.07211194024</v>
      </c>
      <c r="V15" s="7">
        <f t="shared" ref="V15" si="18">V13-V14</f>
        <v>-792142.64607809694</v>
      </c>
      <c r="W15" s="7">
        <f t="shared" ref="W15" si="19">W13-W14</f>
        <v>-781570.49161239201</v>
      </c>
      <c r="X15" s="7">
        <f t="shared" ref="X15" si="20">X13-X14</f>
        <v>-768106.86865107366</v>
      </c>
      <c r="Y15" s="7">
        <f t="shared" ref="Y15" si="21">Y13-Y14</f>
        <v>-751592.74642688246</v>
      </c>
    </row>
    <row r="16" spans="1:25" x14ac:dyDescent="0.35">
      <c r="A16" t="s">
        <v>25</v>
      </c>
      <c r="B16" s="2">
        <f>Assumptions!B18</f>
        <v>11500000</v>
      </c>
      <c r="C16" s="2">
        <f>B16+C15</f>
        <v>10895618</v>
      </c>
      <c r="D16" s="2">
        <f t="shared" ref="D16:M16" si="22">C16+D15</f>
        <v>10268244.99</v>
      </c>
      <c r="E16" s="2">
        <f t="shared" si="22"/>
        <v>9618926.4644499999</v>
      </c>
      <c r="F16" s="2">
        <f t="shared" si="22"/>
        <v>8948765.4199947491</v>
      </c>
      <c r="G16" s="2">
        <f t="shared" si="22"/>
        <v>8258925.5180944605</v>
      </c>
      <c r="H16" s="2">
        <f t="shared" si="22"/>
        <v>7550634.4215896558</v>
      </c>
      <c r="I16" s="2">
        <f t="shared" si="22"/>
        <v>6825187.3147770874</v>
      </c>
      <c r="J16" s="2">
        <f t="shared" si="22"/>
        <v>6083950.6170898275</v>
      </c>
      <c r="K16" s="2">
        <f t="shared" si="22"/>
        <v>5328365.9010297684</v>
      </c>
      <c r="L16" s="2">
        <f t="shared" si="22"/>
        <v>4559954.0255864067</v>
      </c>
      <c r="M16" s="2">
        <f t="shared" si="22"/>
        <v>3780319.49699366</v>
      </c>
      <c r="N16" s="2">
        <f t="shared" ref="N16" si="23">M16+N15</f>
        <v>2991155.0693283123</v>
      </c>
      <c r="O16" s="2">
        <f t="shared" ref="O16" si="24">N16+O15</f>
        <v>2194246.5981413708</v>
      </c>
      <c r="P16" s="2">
        <f t="shared" ref="P16" si="25">O16+P15</f>
        <v>1391478.1610391473</v>
      </c>
      <c r="Q16" s="2">
        <f t="shared" ref="Q16" si="26">P16+Q15</f>
        <v>584837.4598963015</v>
      </c>
      <c r="R16" s="2">
        <f t="shared" ref="R16" si="27">Q16+R15</f>
        <v>-223578.47980940051</v>
      </c>
      <c r="S16" s="2">
        <f t="shared" ref="S16" si="28">R16+S15</f>
        <v>-1031557.2961989162</v>
      </c>
      <c r="T16" s="2">
        <f t="shared" ref="T16" si="29">S16+T15</f>
        <v>-1836764.9474898549</v>
      </c>
      <c r="U16" s="2">
        <f t="shared" ref="U16" si="30">T16+U15</f>
        <v>-2636739.0196017949</v>
      </c>
      <c r="V16" s="2">
        <f t="shared" ref="V16" si="31">U16+V15</f>
        <v>-3428881.6656798916</v>
      </c>
      <c r="W16" s="2">
        <f t="shared" ref="W16" si="32">V16+W15</f>
        <v>-4210452.1572922841</v>
      </c>
      <c r="X16" s="2">
        <f t="shared" ref="X16" si="33">W16+X15</f>
        <v>-4978559.0259433575</v>
      </c>
      <c r="Y16" s="2">
        <f t="shared" ref="Y16" si="34">X16+Y15</f>
        <v>-5730151.7723702397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1248-170E-44D4-99BD-6EE0D7DDAA0C}">
  <dimension ref="A3:Y9"/>
  <sheetViews>
    <sheetView workbookViewId="0">
      <selection activeCell="A15" sqref="A15"/>
    </sheetView>
  </sheetViews>
  <sheetFormatPr defaultRowHeight="14.5" x14ac:dyDescent="0.35"/>
  <cols>
    <col min="1" max="1" width="25" bestFit="1" customWidth="1"/>
    <col min="2" max="2" width="18.81640625" style="2" bestFit="1" customWidth="1"/>
    <col min="3" max="4" width="11.1796875" style="2" bestFit="1" customWidth="1"/>
    <col min="5" max="16" width="10.1796875" style="2" bestFit="1" customWidth="1"/>
    <col min="17" max="17" width="8.6328125" style="2" bestFit="1" customWidth="1"/>
    <col min="18" max="18" width="9.26953125" style="2" bestFit="1" customWidth="1"/>
    <col min="19" max="25" width="10.81640625" style="2" bestFit="1" customWidth="1"/>
  </cols>
  <sheetData>
    <row r="3" spans="1:2" x14ac:dyDescent="0.35">
      <c r="A3" t="s">
        <v>29</v>
      </c>
      <c r="B3" s="2">
        <f>Monthly_Forecast!B16</f>
        <v>11500000</v>
      </c>
    </row>
    <row r="4" spans="1:2" x14ac:dyDescent="0.35">
      <c r="A4" t="s">
        <v>30</v>
      </c>
      <c r="B4" s="2">
        <f>ABS(Monthly_Forecast!B15)</f>
        <v>580400</v>
      </c>
    </row>
    <row r="5" spans="1:2" x14ac:dyDescent="0.35">
      <c r="A5" t="s">
        <v>31</v>
      </c>
      <c r="B5" s="2">
        <f>ABS(AVERAGE(Monthly_Forecast!B15:Y15))</f>
        <v>742106.32384875987</v>
      </c>
    </row>
    <row r="6" spans="1:2" x14ac:dyDescent="0.35">
      <c r="A6" t="s">
        <v>32</v>
      </c>
      <c r="B6" s="1">
        <f>B3/B5</f>
        <v>15.496431751663232</v>
      </c>
    </row>
    <row r="8" spans="1:2" x14ac:dyDescent="0.35">
      <c r="A8" t="s">
        <v>34</v>
      </c>
      <c r="B8" s="2" t="s">
        <v>33</v>
      </c>
    </row>
    <row r="9" spans="1:2" x14ac:dyDescent="0.35">
      <c r="A9" t="s">
        <v>35</v>
      </c>
      <c r="B9" s="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A785-9E28-422C-83A5-595C64B51BC7}">
  <dimension ref="A1:AD14"/>
  <sheetViews>
    <sheetView showGridLines="0" zoomScale="68" zoomScaleNormal="68" workbookViewId="0">
      <selection activeCell="R63" sqref="R63"/>
    </sheetView>
  </sheetViews>
  <sheetFormatPr defaultRowHeight="14.5" x14ac:dyDescent="0.35"/>
  <cols>
    <col min="1" max="1" width="37.453125" bestFit="1" customWidth="1"/>
    <col min="2" max="2" width="12.7265625" style="2" bestFit="1" customWidth="1"/>
  </cols>
  <sheetData>
    <row r="1" spans="1:30" x14ac:dyDescent="0.35">
      <c r="AD1" s="9"/>
    </row>
    <row r="2" spans="1:30" x14ac:dyDescent="0.35">
      <c r="AD2" s="10"/>
    </row>
    <row r="4" spans="1:30" x14ac:dyDescent="0.35">
      <c r="B4" s="5"/>
    </row>
    <row r="5" spans="1:30" x14ac:dyDescent="0.35">
      <c r="B5" s="4"/>
    </row>
    <row r="6" spans="1:30" x14ac:dyDescent="0.35">
      <c r="B6" s="4"/>
    </row>
    <row r="11" spans="1:30" x14ac:dyDescent="0.35">
      <c r="B11" s="3"/>
    </row>
    <row r="14" spans="1:30" x14ac:dyDescent="0.35">
      <c r="A1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Monthly_Forecast</vt:lpstr>
      <vt:lpstr>Runway_Analysis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McPhaul</dc:creator>
  <cp:lastModifiedBy>William McPhaul</cp:lastModifiedBy>
  <dcterms:created xsi:type="dcterms:W3CDTF">2026-05-31T18:44:10Z</dcterms:created>
  <dcterms:modified xsi:type="dcterms:W3CDTF">2026-05-31T21:56:33Z</dcterms:modified>
</cp:coreProperties>
</file>