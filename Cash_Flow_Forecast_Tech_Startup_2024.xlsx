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lly\OneDrive\Documents\Freelancing\Portfolio\Excels\Claude_Portfolio\"/>
    </mc:Choice>
  </mc:AlternateContent>
  <xr:revisionPtr revIDLastSave="0" documentId="13_ncr:1_{AC3D511A-E986-4036-AF4B-841AD260524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xecutive Summary" sheetId="1" r:id="rId1"/>
    <sheet name="Cash Flow Forecasting" sheetId="2" r:id="rId2"/>
    <sheet name="SaaS KPIs" sheetId="3" r:id="rId3"/>
    <sheet name="Sensitivity 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D8" i="4"/>
  <c r="D7" i="4"/>
  <c r="D6" i="4"/>
  <c r="A15" i="4" s="1"/>
  <c r="I31" i="3"/>
  <c r="H21" i="3"/>
  <c r="H25" i="3" s="1"/>
  <c r="N20" i="3"/>
  <c r="M20" i="3"/>
  <c r="L20" i="3"/>
  <c r="K20" i="3"/>
  <c r="J20" i="3"/>
  <c r="I20" i="3"/>
  <c r="H20" i="3"/>
  <c r="G20" i="3"/>
  <c r="G21" i="3" s="1"/>
  <c r="G25" i="3" s="1"/>
  <c r="F20" i="3"/>
  <c r="E20" i="3"/>
  <c r="D20" i="3"/>
  <c r="C20" i="3"/>
  <c r="G16" i="3"/>
  <c r="N14" i="3"/>
  <c r="N23" i="3" s="1"/>
  <c r="M14" i="3"/>
  <c r="M23" i="3" s="1"/>
  <c r="L14" i="3"/>
  <c r="L23" i="3" s="1"/>
  <c r="K14" i="3"/>
  <c r="K23" i="3" s="1"/>
  <c r="J14" i="3"/>
  <c r="J23" i="3" s="1"/>
  <c r="I14" i="3"/>
  <c r="I23" i="3" s="1"/>
  <c r="H14" i="3"/>
  <c r="H23" i="3" s="1"/>
  <c r="H24" i="3" s="1"/>
  <c r="G14" i="3"/>
  <c r="G23" i="3" s="1"/>
  <c r="F14" i="3"/>
  <c r="F23" i="3" s="1"/>
  <c r="E14" i="3"/>
  <c r="E23" i="3" s="1"/>
  <c r="D14" i="3"/>
  <c r="D23" i="3" s="1"/>
  <c r="C14" i="3"/>
  <c r="C23" i="3" s="1"/>
  <c r="C24" i="3" s="1"/>
  <c r="H10" i="3"/>
  <c r="H16" i="3" s="1"/>
  <c r="G10" i="3"/>
  <c r="F10" i="3"/>
  <c r="F16" i="3" s="1"/>
  <c r="E10" i="3"/>
  <c r="F6" i="3" s="1"/>
  <c r="D10" i="3"/>
  <c r="E6" i="3" s="1"/>
  <c r="C10" i="3"/>
  <c r="C16" i="3" s="1"/>
  <c r="C9" i="3"/>
  <c r="H7" i="3"/>
  <c r="G7" i="3"/>
  <c r="C7" i="3"/>
  <c r="C21" i="3" s="1"/>
  <c r="C25" i="3" s="1"/>
  <c r="H6" i="3"/>
  <c r="H11" i="3" s="1"/>
  <c r="H15" i="3" s="1"/>
  <c r="G6" i="3"/>
  <c r="G9" i="3" s="1"/>
  <c r="C38" i="2"/>
  <c r="D38" i="2" s="1"/>
  <c r="E38" i="2" s="1"/>
  <c r="F38" i="2" s="1"/>
  <c r="G38" i="2" s="1"/>
  <c r="H38" i="2" s="1"/>
  <c r="H37" i="2"/>
  <c r="G37" i="2"/>
  <c r="F37" i="2"/>
  <c r="E37" i="2"/>
  <c r="D37" i="2"/>
  <c r="C37" i="2"/>
  <c r="J35" i="2"/>
  <c r="J10" i="3" s="1"/>
  <c r="I35" i="2"/>
  <c r="I10" i="3" s="1"/>
  <c r="O32" i="2"/>
  <c r="O28" i="2"/>
  <c r="N28" i="2"/>
  <c r="N31" i="3" s="1"/>
  <c r="M28" i="2"/>
  <c r="M31" i="3" s="1"/>
  <c r="L28" i="2"/>
  <c r="L31" i="3" s="1"/>
  <c r="K28" i="2"/>
  <c r="K31" i="3" s="1"/>
  <c r="J28" i="2"/>
  <c r="J31" i="3" s="1"/>
  <c r="I28" i="2"/>
  <c r="H28" i="2"/>
  <c r="H31" i="3" s="1"/>
  <c r="G28" i="2"/>
  <c r="G31" i="3" s="1"/>
  <c r="F28" i="2"/>
  <c r="F31" i="3" s="1"/>
  <c r="E28" i="2"/>
  <c r="E31" i="3" s="1"/>
  <c r="D28" i="2"/>
  <c r="D31" i="3" s="1"/>
  <c r="C28" i="2"/>
  <c r="C31" i="3" s="1"/>
  <c r="H27" i="2"/>
  <c r="E27" i="2"/>
  <c r="D27" i="2"/>
  <c r="O25" i="2"/>
  <c r="O24" i="2"/>
  <c r="O23" i="2"/>
  <c r="O22" i="2"/>
  <c r="O21" i="2"/>
  <c r="H20" i="2"/>
  <c r="G20" i="2"/>
  <c r="F20" i="2"/>
  <c r="F27" i="2" s="1"/>
  <c r="F30" i="2" s="1"/>
  <c r="E20" i="2"/>
  <c r="D20" i="2"/>
  <c r="C20" i="2"/>
  <c r="I19" i="2"/>
  <c r="H19" i="2"/>
  <c r="G19" i="2"/>
  <c r="F19" i="2"/>
  <c r="E19" i="2"/>
  <c r="D19" i="2"/>
  <c r="C19" i="2"/>
  <c r="O18" i="2"/>
  <c r="N17" i="2"/>
  <c r="M17" i="2"/>
  <c r="L17" i="2"/>
  <c r="K17" i="2"/>
  <c r="J17" i="2"/>
  <c r="I17" i="2"/>
  <c r="H17" i="2"/>
  <c r="G17" i="2"/>
  <c r="G27" i="2" s="1"/>
  <c r="F17" i="2"/>
  <c r="E17" i="2"/>
  <c r="D17" i="2"/>
  <c r="C17" i="2"/>
  <c r="C27" i="2" s="1"/>
  <c r="O16" i="2"/>
  <c r="O15" i="2"/>
  <c r="I12" i="2"/>
  <c r="H12" i="2"/>
  <c r="H30" i="2" s="1"/>
  <c r="F12" i="2"/>
  <c r="D12" i="2"/>
  <c r="D30" i="2" s="1"/>
  <c r="O10" i="2"/>
  <c r="O9" i="2"/>
  <c r="I8" i="2"/>
  <c r="H8" i="2"/>
  <c r="G8" i="2"/>
  <c r="G12" i="2" s="1"/>
  <c r="G30" i="2" s="1"/>
  <c r="F8" i="2"/>
  <c r="E8" i="2"/>
  <c r="E12" i="2" s="1"/>
  <c r="E30" i="2" s="1"/>
  <c r="D8" i="2"/>
  <c r="C8" i="2"/>
  <c r="C12" i="2" s="1"/>
  <c r="I16" i="3" l="1"/>
  <c r="J6" i="3"/>
  <c r="E11" i="3"/>
  <c r="E15" i="3" s="1"/>
  <c r="E9" i="3"/>
  <c r="K6" i="3"/>
  <c r="J16" i="3"/>
  <c r="F11" i="3"/>
  <c r="F15" i="3" s="1"/>
  <c r="F9" i="3"/>
  <c r="G24" i="3"/>
  <c r="C30" i="2"/>
  <c r="C33" i="2" s="1"/>
  <c r="D7" i="3"/>
  <c r="D21" i="3" s="1"/>
  <c r="H9" i="3"/>
  <c r="I6" i="3"/>
  <c r="E7" i="3"/>
  <c r="E21" i="3" s="1"/>
  <c r="E25" i="3" s="1"/>
  <c r="D16" i="3"/>
  <c r="G11" i="3"/>
  <c r="G15" i="3" s="1"/>
  <c r="J8" i="2"/>
  <c r="J12" i="2" s="1"/>
  <c r="I20" i="2"/>
  <c r="I27" i="2" s="1"/>
  <c r="I30" i="2" s="1"/>
  <c r="I37" i="2"/>
  <c r="I38" i="2" s="1"/>
  <c r="J38" i="2" s="1"/>
  <c r="F7" i="3"/>
  <c r="F21" i="3" s="1"/>
  <c r="E16" i="3"/>
  <c r="C11" i="3"/>
  <c r="C15" i="3" s="1"/>
  <c r="J20" i="2"/>
  <c r="D6" i="3"/>
  <c r="J37" i="2"/>
  <c r="I7" i="3"/>
  <c r="I21" i="3" s="1"/>
  <c r="K35" i="2"/>
  <c r="O17" i="2"/>
  <c r="J19" i="2"/>
  <c r="J27" i="2" s="1"/>
  <c r="J7" i="3"/>
  <c r="J21" i="3" s="1"/>
  <c r="J25" i="3" s="1"/>
  <c r="D25" i="3" l="1"/>
  <c r="D24" i="3"/>
  <c r="I25" i="3"/>
  <c r="I24" i="3"/>
  <c r="F25" i="3"/>
  <c r="F24" i="3"/>
  <c r="G29" i="3"/>
  <c r="G17" i="3"/>
  <c r="E24" i="3"/>
  <c r="F17" i="3"/>
  <c r="F29" i="3"/>
  <c r="E17" i="3"/>
  <c r="E29" i="3"/>
  <c r="H29" i="3"/>
  <c r="J30" i="2"/>
  <c r="H17" i="3"/>
  <c r="K9" i="3"/>
  <c r="J11" i="3"/>
  <c r="J15" i="3" s="1"/>
  <c r="J9" i="3"/>
  <c r="K10" i="3"/>
  <c r="K7" i="3"/>
  <c r="K21" i="3" s="1"/>
  <c r="K8" i="2"/>
  <c r="K19" i="2"/>
  <c r="K37" i="2"/>
  <c r="K38" i="2" s="1"/>
  <c r="K20" i="2"/>
  <c r="L35" i="2"/>
  <c r="I11" i="3"/>
  <c r="I15" i="3" s="1"/>
  <c r="I9" i="3"/>
  <c r="D11" i="3"/>
  <c r="D15" i="3" s="1"/>
  <c r="D9" i="3"/>
  <c r="C30" i="3"/>
  <c r="C32" i="3" s="1"/>
  <c r="D32" i="2"/>
  <c r="D33" i="2" s="1"/>
  <c r="J24" i="3"/>
  <c r="L6" i="3" l="1"/>
  <c r="K16" i="3"/>
  <c r="I29" i="3"/>
  <c r="I17" i="3"/>
  <c r="J17" i="3"/>
  <c r="J29" i="3"/>
  <c r="L20" i="2"/>
  <c r="L7" i="3"/>
  <c r="L21" i="3" s="1"/>
  <c r="L37" i="2"/>
  <c r="L38" i="2" s="1"/>
  <c r="L19" i="2"/>
  <c r="L27" i="2" s="1"/>
  <c r="L8" i="2"/>
  <c r="L12" i="2" s="1"/>
  <c r="L30" i="2" s="1"/>
  <c r="M35" i="2"/>
  <c r="L10" i="3"/>
  <c r="K11" i="3"/>
  <c r="K15" i="3" s="1"/>
  <c r="E32" i="2"/>
  <c r="E33" i="2" s="1"/>
  <c r="D30" i="3"/>
  <c r="D32" i="3" s="1"/>
  <c r="K27" i="2"/>
  <c r="K12" i="2"/>
  <c r="K30" i="2" s="1"/>
  <c r="D17" i="3"/>
  <c r="D29" i="3"/>
  <c r="K25" i="3"/>
  <c r="K24" i="3"/>
  <c r="M37" i="2" l="1"/>
  <c r="M38" i="2" s="1"/>
  <c r="M20" i="2"/>
  <c r="M8" i="2"/>
  <c r="N35" i="2"/>
  <c r="M19" i="2"/>
  <c r="M27" i="2" s="1"/>
  <c r="M10" i="3"/>
  <c r="M7" i="3"/>
  <c r="M21" i="3" s="1"/>
  <c r="M6" i="3"/>
  <c r="L16" i="3"/>
  <c r="L11" i="3"/>
  <c r="L15" i="3" s="1"/>
  <c r="L9" i="3"/>
  <c r="L25" i="3"/>
  <c r="L24" i="3"/>
  <c r="F32" i="2"/>
  <c r="F33" i="2" s="1"/>
  <c r="E30" i="3"/>
  <c r="E32" i="3" s="1"/>
  <c r="K17" i="3"/>
  <c r="K29" i="3"/>
  <c r="N8" i="2" l="1"/>
  <c r="N12" i="2" s="1"/>
  <c r="N37" i="2"/>
  <c r="N38" i="2" s="1"/>
  <c r="N10" i="3"/>
  <c r="N16" i="3" s="1"/>
  <c r="N7" i="3"/>
  <c r="N21" i="3" s="1"/>
  <c r="N19" i="2"/>
  <c r="N27" i="2" s="1"/>
  <c r="N20" i="2"/>
  <c r="O20" i="2" s="1"/>
  <c r="G32" i="2"/>
  <c r="G33" i="2" s="1"/>
  <c r="F30" i="3"/>
  <c r="F32" i="3" s="1"/>
  <c r="L17" i="3"/>
  <c r="L29" i="3"/>
  <c r="M12" i="2"/>
  <c r="M30" i="2" s="1"/>
  <c r="O8" i="2"/>
  <c r="O12" i="2" s="1"/>
  <c r="N6" i="3"/>
  <c r="M16" i="3"/>
  <c r="M25" i="3"/>
  <c r="M24" i="3"/>
  <c r="M11" i="3"/>
  <c r="M15" i="3" s="1"/>
  <c r="M9" i="3"/>
  <c r="N25" i="3" l="1"/>
  <c r="N24" i="3"/>
  <c r="G30" i="3"/>
  <c r="G32" i="3" s="1"/>
  <c r="H32" i="2"/>
  <c r="H33" i="2" s="1"/>
  <c r="N11" i="3"/>
  <c r="N15" i="3" s="1"/>
  <c r="N9" i="3"/>
  <c r="M17" i="3"/>
  <c r="M29" i="3"/>
  <c r="N30" i="2"/>
  <c r="O19" i="2"/>
  <c r="O27" i="2" s="1"/>
  <c r="O30" i="2" s="1"/>
  <c r="O33" i="2" s="1"/>
  <c r="N17" i="3" l="1"/>
  <c r="N29" i="3"/>
  <c r="O15" i="3"/>
  <c r="H30" i="3"/>
  <c r="H32" i="3" s="1"/>
  <c r="I32" i="2"/>
  <c r="I33" i="2" s="1"/>
  <c r="J32" i="2" l="1"/>
  <c r="J33" i="2" s="1"/>
  <c r="I30" i="3"/>
  <c r="I32" i="3" s="1"/>
  <c r="J30" i="3" l="1"/>
  <c r="J32" i="3" s="1"/>
  <c r="K32" i="2"/>
  <c r="K33" i="2" s="1"/>
  <c r="K30" i="3" l="1"/>
  <c r="K32" i="3" s="1"/>
  <c r="L32" i="2"/>
  <c r="L33" i="2" s="1"/>
  <c r="M32" i="2" l="1"/>
  <c r="M33" i="2" s="1"/>
  <c r="L30" i="3"/>
  <c r="L32" i="3" s="1"/>
  <c r="M30" i="3" l="1"/>
  <c r="M32" i="3" s="1"/>
  <c r="N32" i="2"/>
  <c r="N33" i="2" s="1"/>
  <c r="N30" i="3" s="1"/>
  <c r="N32" i="3" s="1"/>
</calcChain>
</file>

<file path=xl/sharedStrings.xml><?xml version="1.0" encoding="utf-8"?>
<sst xmlns="http://schemas.openxmlformats.org/spreadsheetml/2006/main" count="106" uniqueCount="105">
  <si>
    <t>B2B SaaS Startup</t>
  </si>
  <si>
    <t>Cash Flow Forecast 2024</t>
  </si>
  <si>
    <t>12-month cash flow projection — subscription revenue, customer growth, operational burn</t>
  </si>
  <si>
    <t>Date</t>
  </si>
  <si>
    <t>Total</t>
  </si>
  <si>
    <t>Cash in-flows</t>
  </si>
  <si>
    <t>Subscription Revenue (Monthly)</t>
  </si>
  <si>
    <t>Venture Debt</t>
  </si>
  <si>
    <t>Founder Capital / Bridge</t>
  </si>
  <si>
    <t>Total Cash In-Flows</t>
  </si>
  <si>
    <t>Cash Out-Flows</t>
  </si>
  <si>
    <t>Infrastructure CapEx</t>
  </si>
  <si>
    <t>Debt Service</t>
  </si>
  <si>
    <t>Cloud Hosting (AWS/GCP)</t>
  </si>
  <si>
    <t>Sales &amp; Marketing</t>
  </si>
  <si>
    <t>Payment Processing Fees</t>
  </si>
  <si>
    <t>Customer Support Tools</t>
  </si>
  <si>
    <t>Productivity Software</t>
  </si>
  <si>
    <t>Communication Tools (Slack/Zoom)</t>
  </si>
  <si>
    <t>Web Hosting &amp; Domains</t>
  </si>
  <si>
    <t>Interest Expense</t>
  </si>
  <si>
    <t>Founder Salary</t>
  </si>
  <si>
    <t>Total Cash Out-Flows</t>
  </si>
  <si>
    <t>Fixed Monthly Burn</t>
  </si>
  <si>
    <t>Net Cash Flow</t>
  </si>
  <si>
    <t>Opening Cash Balance</t>
  </si>
  <si>
    <t>Closing Cash Balance</t>
  </si>
  <si>
    <t>Active Customers (MRR-bearing)</t>
  </si>
  <si>
    <t>Cloud Usage Index</t>
  </si>
  <si>
    <t>Net Customer / Usage Delta</t>
  </si>
  <si>
    <t>Cumulative Position</t>
  </si>
  <si>
    <t>Insight: Cash flow shows tight liquidity through mid-year due to equipment purchases and inventory buildup. Cash position recovers strongly in Q4, suggesting the business is front-loading expenses to capitalize on year-end sales.</t>
  </si>
  <si>
    <t>Based on the cash flow forecast, the business has approximately four months of runway before requiring additional funding, with liquidity tightening in mid-year due to inventory buildup and capital expenditures.</t>
  </si>
  <si>
    <t>Fixed monthly burn increases mid-year due to the introduction of recurring owner drawings, which structurally raises the minimum liquidity requirement.”</t>
  </si>
  <si>
    <t>Executive Summary</t>
  </si>
  <si>
    <t>Title</t>
  </si>
  <si>
    <t>Executive Summary – Tech Startup Cash Flow Forecast</t>
  </si>
  <si>
    <t>Project Context</t>
  </si>
  <si>
    <t>12-month cash flow forecast for an early-stage B2B SaaS company. Tracks subscription revenue growth, operating burn, and runway under base-case assumptions.</t>
  </si>
  <si>
    <t>Objective</t>
  </si>
  <si>
    <t>Project runway, identify cash-tight months, and surface where additional capital may be needed before reaching break-even.</t>
  </si>
  <si>
    <t>Method</t>
  </si>
  <si>
    <t>Driver-based monthly cash flow model with active customer growth driving MRR; fixed and variable operating costs; capital structure with founder equity and venture debt.</t>
  </si>
  <si>
    <t>Key Insight</t>
  </si>
  <si>
    <t>Early months show cash dips due to high S&amp;M spend and infrastructure investment; revenue compounds as customer base grows; closing balance trends positive in second half of year.</t>
  </si>
  <si>
    <t>Tools Used</t>
  </si>
  <si>
    <t>Excel — driver-based formulas, monthly forecast with sensitivity analysis, KPI dashboard with MRR, ARR, CAC, LTV, and Churn.</t>
  </si>
  <si>
    <t>Next Steps</t>
  </si>
  <si>
    <t>Review monthly variance vs forecast; refine churn and CAC assumptions with actual cohort data; extend to multi-year forecast post-product-market-fit.</t>
  </si>
  <si>
    <t>SaaS KPIs Dashboard — B2B SaaS Startup</t>
  </si>
  <si>
    <t>Metric</t>
  </si>
  <si>
    <t>Assumption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</si>
  <si>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</si>
  <si>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</si>
  <si>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</si>
  <si>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</si>
  <si>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</si>
  <si>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</si>
  <si>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</si>
  <si>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</si>
  <si>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</si>
  <si>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</si>
  <si>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</si>
  <si>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</si>
  <si>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</si>
  <si>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Customer Drivers</t>
  </si>
  <si>
    <t>Beginning Customers</t>
  </si>
  <si>
    <t>New Customers Acquired</t>
  </si>
  <si>
    <t>Monthly Churn Rate</t>
  </si>
  <si>
    <t>Churned Customers</t>
  </si>
  <si>
    <t>Ending Customers</t>
  </si>
  <si>
    <t>Average Customers</t>
  </si>
  <si>
    <t>Revenue Metrics (MRR / ARR)</t>
  </si>
  <si>
    <t>ARPU (Monthly)</t>
  </si>
  <si>
    <t>$/mo</t>
  </si>
  <si>
    <t>MRR (Monthly Recurring Revenue)</t>
  </si>
  <si>
    <t>ARR (Annual Recurring Revenue)</t>
  </si>
  <si>
    <t xml:space="preserve">  MRR Growth %</t>
  </si>
  <si>
    <t>Unit Economics</t>
  </si>
  <si>
    <t>S&amp;M Spend</t>
  </si>
  <si>
    <t>CAC (Customer Acquisition Cost)</t>
  </si>
  <si>
    <t>Gross Margin %</t>
  </si>
  <si>
    <t>LTV (Lifetime Value)</t>
  </si>
  <si>
    <t>LTV / CAC Ratio</t>
  </si>
  <si>
    <t>CAC Payback (months)</t>
  </si>
  <si>
    <t>Health Indicators</t>
  </si>
  <si>
    <t>Net Revenue Retention (NRR)</t>
  </si>
  <si>
    <t>MRR Growth (annualized)</t>
  </si>
  <si>
    <t>Cash Balance (end of month)</t>
  </si>
  <si>
    <t>Monthly Burn (fixed)</t>
  </si>
  <si>
    <t>Months of Runway</t>
  </si>
  <si>
    <t>Legend:</t>
  </si>
  <si>
    <t xml:space="preserve">  Yellow cells = user inputs (assumptions)</t>
  </si>
  <si>
    <t xml:space="preserve">  Blue cells   = key calculated outputs</t>
  </si>
  <si>
    <t xml:space="preserve">Subscription Sales Forecast </t>
  </si>
  <si>
    <t>Projecting revenue based on current subscription sales and future growth scenarios</t>
  </si>
  <si>
    <t>Subscription Type</t>
  </si>
  <si>
    <t>Monitor Price</t>
  </si>
  <si>
    <t>Sales %</t>
  </si>
  <si>
    <t>Projected Sales</t>
  </si>
  <si>
    <t>Small</t>
  </si>
  <si>
    <t>Medium</t>
  </si>
  <si>
    <t>Large</t>
  </si>
  <si>
    <t>Projected Sales by Increase in Sales %</t>
  </si>
  <si>
    <t>Insight: Even a modest 2.5% increase in sales volume yields a $25–30 gain per product tier. Targeting a 5–10% growth in high-tier subscriptions could yield disproportionately higher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</si>
</sst>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[$-409]mmm\-yy;@"/>
    <numFmt numFmtId="167" formatCode="_(* #,##0.0_);_(* \(#,##0.0\);_(* &quot;-&quot;??_);_(@_)"/>
    <numFmt numFmtId="168" formatCode="0.0%"/>
    <numFmt numFmtId="169" formatCode="_(\$* #,##0_);_(\$* \(#,##0\);_(\$* &quot;-&quot;??_);_(@_)"/>
    <numFmt numFmtId="170" formatCode="0.0%;\(0.0%\);&quot;-&quot;"/>
    <numFmt numFmtId="171" formatCode="0.00&quot;x&quot;"/>
    <numFmt numFmtId="172" formatCode="0.0&quot; mo&quot;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24"/>
      <color theme="1"/>
      <name val="Calibri"/>
      <family val="2"/>
    </font>
    <font>
      <i/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44" fontId="1" fillId="0" borderId="0"/>
  </cellStyleXfs>
  <cellXfs count="5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2" applyNumberFormat="1" applyFont="1"/>
    <xf numFmtId="165" fontId="0" fillId="0" borderId="0" xfId="1" applyNumberFormat="1" applyFont="1"/>
    <xf numFmtId="165" fontId="0" fillId="0" borderId="1" xfId="1" applyNumberFormat="1" applyFont="1" applyBorder="1"/>
    <xf numFmtId="164" fontId="2" fillId="0" borderId="1" xfId="2" applyNumberFormat="1" applyFont="1" applyBorder="1"/>
    <xf numFmtId="164" fontId="2" fillId="0" borderId="0" xfId="2" applyNumberFormat="1" applyFont="1"/>
    <xf numFmtId="166" fontId="2" fillId="0" borderId="0" xfId="0" applyNumberFormat="1" applyFont="1"/>
    <xf numFmtId="166" fontId="2" fillId="0" borderId="0" xfId="0" applyNumberFormat="1" applyFont="1" applyAlignment="1">
      <alignment horizontal="right" indent="1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3" fillId="0" borderId="0" xfId="0" applyNumberFormat="1" applyFont="1"/>
    <xf numFmtId="0" fontId="7" fillId="0" borderId="0" xfId="0" applyFont="1"/>
    <xf numFmtId="0" fontId="8" fillId="0" borderId="0" xfId="0" applyFont="1"/>
    <xf numFmtId="0" fontId="6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/>
    <xf numFmtId="167" fontId="0" fillId="0" borderId="0" xfId="1" applyNumberFormat="1" applyFont="1"/>
    <xf numFmtId="1" fontId="0" fillId="2" borderId="0" xfId="0" applyNumberFormat="1" applyFill="1"/>
    <xf numFmtId="10" fontId="3" fillId="3" borderId="0" xfId="0" applyNumberFormat="1" applyFont="1" applyFill="1"/>
    <xf numFmtId="164" fontId="1" fillId="0" borderId="0" xfId="2" applyNumberFormat="1"/>
    <xf numFmtId="164" fontId="2" fillId="4" borderId="1" xfId="2" applyNumberFormat="1" applyFont="1" applyFill="1" applyBorder="1"/>
    <xf numFmtId="164" fontId="2" fillId="5" borderId="1" xfId="2" applyNumberFormat="1" applyFont="1" applyFill="1" applyBorder="1"/>
    <xf numFmtId="164" fontId="2" fillId="6" borderId="1" xfId="2" applyNumberFormat="1" applyFont="1" applyFill="1" applyBorder="1"/>
    <xf numFmtId="164" fontId="0" fillId="4" borderId="0" xfId="2" applyNumberFormat="1" applyFont="1" applyFill="1"/>
    <xf numFmtId="0" fontId="10" fillId="7" borderId="0" xfId="0" applyFont="1" applyFill="1"/>
    <xf numFmtId="0" fontId="0" fillId="7" borderId="0" xfId="0" applyFill="1"/>
    <xf numFmtId="0" fontId="11" fillId="7" borderId="0" xfId="0" applyFont="1" applyFill="1" applyAlignment="1">
      <alignment horizontal="left" vertical="center" indent="1"/>
    </xf>
    <xf numFmtId="0" fontId="11" fillId="7" borderId="0" xfId="0" applyFont="1" applyFill="1" applyAlignment="1">
      <alignment horizontal="center" vertical="center"/>
    </xf>
    <xf numFmtId="0" fontId="12" fillId="8" borderId="0" xfId="0" applyFont="1" applyFill="1"/>
    <xf numFmtId="0" fontId="0" fillId="8" borderId="0" xfId="0" applyFill="1"/>
    <xf numFmtId="0" fontId="13" fillId="0" borderId="0" xfId="0" applyFont="1" applyAlignment="1">
      <alignment horizontal="left" vertical="center" indent="1"/>
    </xf>
    <xf numFmtId="3" fontId="0" fillId="0" borderId="0" xfId="0" applyNumberFormat="1" applyAlignment="1">
      <alignment horizontal="right" vertical="center"/>
    </xf>
    <xf numFmtId="168" fontId="0" fillId="9" borderId="0" xfId="0" applyNumberFormat="1" applyFill="1" applyAlignment="1">
      <alignment horizontal="center" vertical="center"/>
    </xf>
    <xf numFmtId="168" fontId="0" fillId="0" borderId="0" xfId="0" applyNumberFormat="1" applyAlignment="1">
      <alignment horizontal="right" vertical="center"/>
    </xf>
    <xf numFmtId="0" fontId="12" fillId="0" borderId="0" xfId="0" applyFont="1" applyAlignment="1">
      <alignment horizontal="left" vertical="center" indent="1"/>
    </xf>
    <xf numFmtId="3" fontId="12" fillId="10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right" vertical="center"/>
    </xf>
    <xf numFmtId="169" fontId="12" fillId="10" borderId="0" xfId="0" applyNumberFormat="1" applyFont="1" applyFill="1" applyAlignment="1">
      <alignment horizontal="right" vertical="center"/>
    </xf>
    <xf numFmtId="169" fontId="12" fillId="10" borderId="0" xfId="0" applyNumberFormat="1" applyFont="1" applyFill="1"/>
    <xf numFmtId="170" fontId="0" fillId="0" borderId="0" xfId="0" applyNumberFormat="1" applyAlignment="1">
      <alignment horizontal="right" vertical="center"/>
    </xf>
    <xf numFmtId="171" fontId="12" fillId="10" borderId="0" xfId="0" applyNumberFormat="1" applyFont="1" applyFill="1" applyAlignment="1">
      <alignment horizontal="right" vertical="center"/>
    </xf>
    <xf numFmtId="172" fontId="0" fillId="0" borderId="0" xfId="0" applyNumberFormat="1" applyAlignment="1">
      <alignment horizontal="right" vertical="center"/>
    </xf>
    <xf numFmtId="172" fontId="12" fillId="10" borderId="0" xfId="0" applyNumberFormat="1" applyFont="1" applyFill="1" applyAlignment="1">
      <alignment horizontal="right" vertical="center"/>
    </xf>
    <xf numFmtId="0" fontId="12" fillId="0" borderId="0" xfId="0" applyFont="1"/>
    <xf numFmtId="0" fontId="0" fillId="9" borderId="0" xfId="0" applyFill="1"/>
    <xf numFmtId="0" fontId="0" fillId="10" borderId="0" xfId="0" applyFill="1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3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8" displayName="Table58" ref="A5:D9" totalsRowCount="1">
  <autoFilter ref="A5:D8" xr:uid="{00000000-0009-0000-0100-000001000000}"/>
  <tableColumns count="4">
    <tableColumn id="1" xr3:uid="{00000000-0010-0000-0000-000001000000}" name="Subscription Type" totalsRowLabel="Total"/>
    <tableColumn id="2" xr3:uid="{00000000-0010-0000-0000-000002000000}" name="Monitor Price" dataDxfId="2" dataCellStyle="Currency"/>
    <tableColumn id="5" xr3:uid="{00000000-0010-0000-0000-000005000000}" name="Sales %"/>
    <tableColumn id="4" xr3:uid="{00000000-0010-0000-0000-000004000000}" name="Projected Sales" totalsRowFunction="sum" dataDxfId="1" totalsRowDxfId="0">
      <calculatedColumnFormula>Table58[[#This Row],[Monitor Price]]*(1+Table58[[#This Row],[Sales %]])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"/>
  <sheetViews>
    <sheetView workbookViewId="0">
      <selection activeCell="B10" sqref="B10"/>
    </sheetView>
  </sheetViews>
  <sheetFormatPr defaultRowHeight="14.5" x14ac:dyDescent="0.35"/>
  <cols>
    <col min="1" max="1" width="25.08984375" bestFit="1" customWidth="1"/>
    <col min="2" max="2" width="116.08984375" customWidth="1"/>
  </cols>
  <sheetData>
    <row r="2" spans="1:2" ht="21" customHeight="1" x14ac:dyDescent="0.5">
      <c r="A2" s="21" t="s">
        <v>34</v>
      </c>
    </row>
    <row r="4" spans="1:2" x14ac:dyDescent="0.35">
      <c r="A4" s="20" t="s">
        <v>35</v>
      </c>
      <c r="B4" s="19" t="s">
        <v>36</v>
      </c>
    </row>
    <row r="5" spans="1:2" ht="29" x14ac:dyDescent="0.35">
      <c r="A5" s="20" t="s">
        <v>37</v>
      </c>
      <c r="B5" s="19" t="s">
        <v>38</v>
      </c>
    </row>
    <row r="6" spans="1:2" x14ac:dyDescent="0.35">
      <c r="A6" s="20" t="s">
        <v>39</v>
      </c>
      <c r="B6" s="19" t="s">
        <v>40</v>
      </c>
    </row>
    <row r="7" spans="1:2" ht="29" x14ac:dyDescent="0.35">
      <c r="A7" s="20" t="s">
        <v>41</v>
      </c>
      <c r="B7" s="19" t="s">
        <v>42</v>
      </c>
    </row>
    <row r="8" spans="1:2" ht="29" x14ac:dyDescent="0.35">
      <c r="A8" s="20" t="s">
        <v>43</v>
      </c>
      <c r="B8" s="19" t="s">
        <v>44</v>
      </c>
    </row>
    <row r="9" spans="1:2" x14ac:dyDescent="0.35">
      <c r="A9" s="20" t="s">
        <v>45</v>
      </c>
      <c r="B9" s="19" t="s">
        <v>46</v>
      </c>
    </row>
    <row r="10" spans="1:2" ht="29" x14ac:dyDescent="0.35">
      <c r="A10" s="20" t="s">
        <v>47</v>
      </c>
      <c r="B10" s="1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5"/>
  <sheetViews>
    <sheetView topLeftCell="A7" zoomScale="91" zoomScaleNormal="91" workbookViewId="0">
      <selection activeCell="A23" sqref="A23"/>
    </sheetView>
  </sheetViews>
  <sheetFormatPr defaultRowHeight="14.5" x14ac:dyDescent="0.35"/>
  <cols>
    <col min="1" max="1" width="34.81640625" customWidth="1"/>
    <col min="2" max="14" width="10.6328125" customWidth="1"/>
    <col min="15" max="15" width="11.1796875" bestFit="1" customWidth="1"/>
  </cols>
  <sheetData>
    <row r="1" spans="1:15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x14ac:dyDescent="0.35">
      <c r="A2" s="53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1:15" x14ac:dyDescent="0.35">
      <c r="A3" s="55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1: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2" t="s">
        <v>3</v>
      </c>
      <c r="B5" s="10"/>
      <c r="C5" s="8">
        <v>45309</v>
      </c>
      <c r="D5" s="8">
        <v>45341</v>
      </c>
      <c r="E5" s="8">
        <v>45373</v>
      </c>
      <c r="F5" s="8">
        <v>45405</v>
      </c>
      <c r="G5" s="8">
        <v>45437</v>
      </c>
      <c r="H5" s="8">
        <v>45469</v>
      </c>
      <c r="I5" s="8">
        <v>45501</v>
      </c>
      <c r="J5" s="8">
        <v>45533</v>
      </c>
      <c r="K5" s="8">
        <v>45565</v>
      </c>
      <c r="L5" s="8">
        <v>45566</v>
      </c>
      <c r="M5" s="8">
        <v>45599</v>
      </c>
      <c r="N5" s="8">
        <v>45630</v>
      </c>
      <c r="O5" s="9" t="s">
        <v>4</v>
      </c>
    </row>
    <row r="7" spans="1:15" x14ac:dyDescent="0.35">
      <c r="A7" s="2" t="s">
        <v>5</v>
      </c>
    </row>
    <row r="8" spans="1:15" x14ac:dyDescent="0.35">
      <c r="A8" t="s">
        <v>6</v>
      </c>
      <c r="B8" s="4">
        <v>300</v>
      </c>
      <c r="C8" s="4">
        <f>+C35</f>
        <v>0</v>
      </c>
      <c r="D8" s="4">
        <f t="shared" ref="D8:N8" si="0">+$B$8*D35</f>
        <v>600</v>
      </c>
      <c r="E8" s="4">
        <f t="shared" si="0"/>
        <v>1500</v>
      </c>
      <c r="F8" s="4">
        <f t="shared" si="0"/>
        <v>2400</v>
      </c>
      <c r="G8" s="4">
        <f t="shared" si="0"/>
        <v>3000</v>
      </c>
      <c r="H8" s="4">
        <f t="shared" si="0"/>
        <v>3300</v>
      </c>
      <c r="I8" s="4">
        <f t="shared" si="0"/>
        <v>3900</v>
      </c>
      <c r="J8" s="4">
        <f t="shared" si="0"/>
        <v>4500</v>
      </c>
      <c r="K8" s="4">
        <f t="shared" si="0"/>
        <v>5100</v>
      </c>
      <c r="L8" s="4">
        <f t="shared" si="0"/>
        <v>5700</v>
      </c>
      <c r="M8" s="4">
        <f t="shared" si="0"/>
        <v>6300</v>
      </c>
      <c r="N8" s="4">
        <f t="shared" si="0"/>
        <v>6900</v>
      </c>
      <c r="O8" s="4">
        <f>+SUM(C8:N8)</f>
        <v>43200</v>
      </c>
    </row>
    <row r="9" spans="1:15" x14ac:dyDescent="0.35">
      <c r="A9" t="s">
        <v>7</v>
      </c>
      <c r="B9" s="4"/>
      <c r="C9" s="4">
        <v>2000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>
        <f>+SUM(C9:N9)</f>
        <v>2000</v>
      </c>
    </row>
    <row r="10" spans="1:15" x14ac:dyDescent="0.35">
      <c r="A10" t="s">
        <v>8</v>
      </c>
      <c r="B10" s="4"/>
      <c r="C10" s="4">
        <v>2000</v>
      </c>
      <c r="D10" s="4"/>
      <c r="E10" s="4">
        <v>1000</v>
      </c>
      <c r="F10" s="4"/>
      <c r="G10" s="4"/>
      <c r="H10" s="4"/>
      <c r="I10" s="4"/>
      <c r="J10" s="4"/>
      <c r="K10" s="4"/>
      <c r="L10" s="4"/>
      <c r="M10" s="4"/>
      <c r="N10" s="4"/>
      <c r="O10" s="4">
        <f>+SUM(C10:N10)</f>
        <v>3000</v>
      </c>
    </row>
    <row r="11" spans="1:15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5">
      <c r="A12" s="2" t="s">
        <v>9</v>
      </c>
      <c r="B12" s="4"/>
      <c r="C12" s="7">
        <f t="shared" ref="C12:O12" si="1">+SUM(C8:C10)</f>
        <v>4000</v>
      </c>
      <c r="D12" s="7">
        <f t="shared" si="1"/>
        <v>600</v>
      </c>
      <c r="E12" s="7">
        <f t="shared" si="1"/>
        <v>2500</v>
      </c>
      <c r="F12" s="7">
        <f t="shared" si="1"/>
        <v>2400</v>
      </c>
      <c r="G12" s="7">
        <f t="shared" si="1"/>
        <v>3000</v>
      </c>
      <c r="H12" s="7">
        <f t="shared" si="1"/>
        <v>3300</v>
      </c>
      <c r="I12" s="7">
        <f t="shared" si="1"/>
        <v>3900</v>
      </c>
      <c r="J12" s="7">
        <f t="shared" si="1"/>
        <v>4500</v>
      </c>
      <c r="K12" s="7">
        <f t="shared" si="1"/>
        <v>5100</v>
      </c>
      <c r="L12" s="7">
        <f t="shared" si="1"/>
        <v>5700</v>
      </c>
      <c r="M12" s="7">
        <f t="shared" si="1"/>
        <v>6300</v>
      </c>
      <c r="N12" s="7">
        <f t="shared" si="1"/>
        <v>6900</v>
      </c>
      <c r="O12" s="7">
        <f t="shared" si="1"/>
        <v>48200</v>
      </c>
    </row>
    <row r="13" spans="1:15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5">
      <c r="A14" s="2" t="s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5">
      <c r="A15" t="s">
        <v>11</v>
      </c>
      <c r="B15" s="4"/>
      <c r="C15" s="4">
        <v>750</v>
      </c>
      <c r="D15" s="4"/>
      <c r="E15" s="4">
        <v>1500</v>
      </c>
      <c r="F15" s="4"/>
      <c r="G15" s="4"/>
      <c r="H15" s="4"/>
      <c r="I15" s="4"/>
      <c r="J15" s="4"/>
      <c r="K15" s="4"/>
      <c r="L15" s="4"/>
      <c r="M15" s="4"/>
      <c r="N15" s="4"/>
      <c r="O15" s="4">
        <f t="shared" ref="O15:O25" si="2">SUM(C15:N15)</f>
        <v>2250</v>
      </c>
    </row>
    <row r="16" spans="1:15" x14ac:dyDescent="0.35">
      <c r="A16" t="s">
        <v>12</v>
      </c>
      <c r="B16" s="4"/>
      <c r="C16" s="4"/>
      <c r="D16" s="4">
        <v>75</v>
      </c>
      <c r="E16" s="4">
        <v>75</v>
      </c>
      <c r="F16" s="4">
        <v>75</v>
      </c>
      <c r="G16" s="4">
        <v>75</v>
      </c>
      <c r="H16" s="4">
        <v>75</v>
      </c>
      <c r="I16" s="4">
        <v>75</v>
      </c>
      <c r="J16" s="4">
        <v>75</v>
      </c>
      <c r="K16" s="4">
        <v>75</v>
      </c>
      <c r="L16" s="4">
        <v>75</v>
      </c>
      <c r="M16" s="4">
        <v>75</v>
      </c>
      <c r="N16" s="4">
        <v>75</v>
      </c>
      <c r="O16" s="4">
        <f t="shared" si="2"/>
        <v>825</v>
      </c>
    </row>
    <row r="17" spans="1:15" x14ac:dyDescent="0.35">
      <c r="A17" t="s">
        <v>13</v>
      </c>
      <c r="B17" s="4">
        <v>150</v>
      </c>
      <c r="C17" s="4">
        <f t="shared" ref="C17:N17" si="3">+$B$17*C36</f>
        <v>2250</v>
      </c>
      <c r="D17" s="4">
        <f t="shared" si="3"/>
        <v>0</v>
      </c>
      <c r="E17" s="4">
        <f t="shared" si="3"/>
        <v>0</v>
      </c>
      <c r="F17" s="4">
        <f t="shared" si="3"/>
        <v>3000</v>
      </c>
      <c r="G17" s="4">
        <f t="shared" si="3"/>
        <v>3750</v>
      </c>
      <c r="H17" s="4">
        <f t="shared" si="3"/>
        <v>0</v>
      </c>
      <c r="I17" s="4">
        <f t="shared" si="3"/>
        <v>4500</v>
      </c>
      <c r="J17" s="4">
        <f t="shared" si="3"/>
        <v>0</v>
      </c>
      <c r="K17" s="4">
        <f t="shared" si="3"/>
        <v>6000</v>
      </c>
      <c r="L17" s="4">
        <f t="shared" si="3"/>
        <v>0</v>
      </c>
      <c r="M17" s="4">
        <f t="shared" si="3"/>
        <v>4500</v>
      </c>
      <c r="N17" s="4">
        <f t="shared" si="3"/>
        <v>0</v>
      </c>
      <c r="O17" s="4">
        <f t="shared" si="2"/>
        <v>24000</v>
      </c>
    </row>
    <row r="18" spans="1:15" x14ac:dyDescent="0.35">
      <c r="A18" t="s">
        <v>14</v>
      </c>
      <c r="B18" s="4"/>
      <c r="C18" s="4">
        <v>150</v>
      </c>
      <c r="D18" s="4">
        <v>150</v>
      </c>
      <c r="E18" s="4">
        <v>150</v>
      </c>
      <c r="F18" s="4">
        <v>150</v>
      </c>
      <c r="G18" s="4">
        <v>150</v>
      </c>
      <c r="H18" s="4">
        <v>150</v>
      </c>
      <c r="I18" s="4">
        <v>150</v>
      </c>
      <c r="J18" s="4">
        <v>150</v>
      </c>
      <c r="K18" s="4">
        <v>150</v>
      </c>
      <c r="L18" s="4">
        <v>150</v>
      </c>
      <c r="M18" s="4">
        <v>150</v>
      </c>
      <c r="N18" s="4">
        <v>150</v>
      </c>
      <c r="O18" s="4">
        <f t="shared" si="2"/>
        <v>1800</v>
      </c>
    </row>
    <row r="19" spans="1:15" x14ac:dyDescent="0.35">
      <c r="A19" t="s">
        <v>15</v>
      </c>
      <c r="B19" s="4">
        <v>1.5</v>
      </c>
      <c r="C19" s="4">
        <f t="shared" ref="C19:N19" si="4">+$B$19*C35</f>
        <v>0</v>
      </c>
      <c r="D19" s="4">
        <f t="shared" si="4"/>
        <v>3</v>
      </c>
      <c r="E19" s="4">
        <f t="shared" si="4"/>
        <v>7.5</v>
      </c>
      <c r="F19" s="4">
        <f t="shared" si="4"/>
        <v>12</v>
      </c>
      <c r="G19" s="4">
        <f t="shared" si="4"/>
        <v>15</v>
      </c>
      <c r="H19" s="4">
        <f t="shared" si="4"/>
        <v>16.5</v>
      </c>
      <c r="I19" s="4">
        <f t="shared" si="4"/>
        <v>19.5</v>
      </c>
      <c r="J19" s="4">
        <f t="shared" si="4"/>
        <v>22.5</v>
      </c>
      <c r="K19" s="4">
        <f t="shared" si="4"/>
        <v>25.5</v>
      </c>
      <c r="L19" s="4">
        <f t="shared" si="4"/>
        <v>28.5</v>
      </c>
      <c r="M19" s="4">
        <f t="shared" si="4"/>
        <v>31.5</v>
      </c>
      <c r="N19" s="4">
        <f t="shared" si="4"/>
        <v>34.5</v>
      </c>
      <c r="O19" s="4">
        <f t="shared" si="2"/>
        <v>216</v>
      </c>
    </row>
    <row r="20" spans="1:15" x14ac:dyDescent="0.35">
      <c r="A20" t="s">
        <v>16</v>
      </c>
      <c r="B20" s="4">
        <v>5</v>
      </c>
      <c r="C20" s="4">
        <f t="shared" ref="C20:N20" si="5">+$B$20*C35</f>
        <v>0</v>
      </c>
      <c r="D20" s="4">
        <f t="shared" si="5"/>
        <v>10</v>
      </c>
      <c r="E20" s="4">
        <f t="shared" si="5"/>
        <v>25</v>
      </c>
      <c r="F20" s="4">
        <f t="shared" si="5"/>
        <v>40</v>
      </c>
      <c r="G20" s="4">
        <f t="shared" si="5"/>
        <v>50</v>
      </c>
      <c r="H20" s="4">
        <f t="shared" si="5"/>
        <v>55</v>
      </c>
      <c r="I20" s="4">
        <f t="shared" si="5"/>
        <v>65</v>
      </c>
      <c r="J20" s="4">
        <f t="shared" si="5"/>
        <v>75</v>
      </c>
      <c r="K20" s="4">
        <f t="shared" si="5"/>
        <v>85</v>
      </c>
      <c r="L20" s="4">
        <f t="shared" si="5"/>
        <v>95</v>
      </c>
      <c r="M20" s="4">
        <f t="shared" si="5"/>
        <v>105</v>
      </c>
      <c r="N20" s="4">
        <f t="shared" si="5"/>
        <v>115</v>
      </c>
      <c r="O20" s="4">
        <f t="shared" si="2"/>
        <v>720</v>
      </c>
    </row>
    <row r="21" spans="1:15" x14ac:dyDescent="0.35">
      <c r="A21" t="s">
        <v>17</v>
      </c>
      <c r="B21" s="4"/>
      <c r="C21" s="4">
        <v>125</v>
      </c>
      <c r="D21" s="4"/>
      <c r="E21" s="4"/>
      <c r="F21" s="4"/>
      <c r="G21" s="4"/>
      <c r="H21" s="4"/>
      <c r="I21" s="4">
        <v>50</v>
      </c>
      <c r="J21" s="4"/>
      <c r="K21" s="4"/>
      <c r="L21" s="4"/>
      <c r="M21" s="4"/>
      <c r="N21" s="4"/>
      <c r="O21" s="4">
        <f t="shared" si="2"/>
        <v>175</v>
      </c>
    </row>
    <row r="22" spans="1:15" x14ac:dyDescent="0.35">
      <c r="A22" t="s">
        <v>18</v>
      </c>
      <c r="B22" s="4"/>
      <c r="C22" s="4">
        <v>50</v>
      </c>
      <c r="D22" s="4">
        <v>50</v>
      </c>
      <c r="E22" s="4">
        <v>50</v>
      </c>
      <c r="F22" s="4">
        <v>50</v>
      </c>
      <c r="G22" s="4">
        <v>50</v>
      </c>
      <c r="H22" s="4">
        <v>50</v>
      </c>
      <c r="I22" s="4">
        <v>50</v>
      </c>
      <c r="J22" s="4">
        <v>50</v>
      </c>
      <c r="K22" s="4">
        <v>50</v>
      </c>
      <c r="L22" s="4">
        <v>50</v>
      </c>
      <c r="M22" s="4">
        <v>50</v>
      </c>
      <c r="N22" s="4">
        <v>50</v>
      </c>
      <c r="O22" s="4">
        <f t="shared" si="2"/>
        <v>600</v>
      </c>
    </row>
    <row r="23" spans="1:15" x14ac:dyDescent="0.35">
      <c r="A23" t="s">
        <v>19</v>
      </c>
      <c r="B23" s="4"/>
      <c r="C23" s="4">
        <v>25</v>
      </c>
      <c r="D23" s="4">
        <v>25</v>
      </c>
      <c r="E23" s="4">
        <v>25</v>
      </c>
      <c r="F23" s="4">
        <v>25</v>
      </c>
      <c r="G23" s="4">
        <v>25</v>
      </c>
      <c r="H23" s="4">
        <v>25</v>
      </c>
      <c r="I23" s="4">
        <v>25</v>
      </c>
      <c r="J23" s="4">
        <v>25</v>
      </c>
      <c r="K23" s="4">
        <v>25</v>
      </c>
      <c r="L23" s="4">
        <v>25</v>
      </c>
      <c r="M23" s="4">
        <v>25</v>
      </c>
      <c r="N23" s="4">
        <v>25</v>
      </c>
      <c r="O23" s="4">
        <f t="shared" si="2"/>
        <v>300</v>
      </c>
    </row>
    <row r="24" spans="1:15" x14ac:dyDescent="0.35">
      <c r="A24" t="s">
        <v>20</v>
      </c>
      <c r="B24" s="4"/>
      <c r="C24" s="4"/>
      <c r="D24" s="4"/>
      <c r="E24" s="4"/>
      <c r="F24" s="4"/>
      <c r="G24" s="4">
        <v>10</v>
      </c>
      <c r="H24" s="4"/>
      <c r="I24" s="4">
        <v>10</v>
      </c>
      <c r="J24" s="4"/>
      <c r="K24" s="4"/>
      <c r="L24" s="4"/>
      <c r="M24" s="4"/>
      <c r="N24" s="4"/>
      <c r="O24" s="4">
        <f t="shared" si="2"/>
        <v>20</v>
      </c>
    </row>
    <row r="25" spans="1:15" x14ac:dyDescent="0.35">
      <c r="A25" t="s">
        <v>21</v>
      </c>
      <c r="B25" s="4"/>
      <c r="C25" s="4"/>
      <c r="D25" s="4"/>
      <c r="E25" s="4"/>
      <c r="F25" s="4">
        <v>500</v>
      </c>
      <c r="G25" s="4">
        <v>500</v>
      </c>
      <c r="H25" s="4">
        <v>500</v>
      </c>
      <c r="I25" s="4">
        <v>750</v>
      </c>
      <c r="J25" s="4">
        <v>750</v>
      </c>
      <c r="K25" s="4">
        <v>750</v>
      </c>
      <c r="L25" s="4">
        <v>750</v>
      </c>
      <c r="M25" s="4">
        <v>750</v>
      </c>
      <c r="N25" s="4">
        <v>750</v>
      </c>
      <c r="O25" s="4">
        <f t="shared" si="2"/>
        <v>6000</v>
      </c>
    </row>
    <row r="26" spans="1:15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35">
      <c r="A27" s="2" t="s">
        <v>22</v>
      </c>
      <c r="B27" s="4"/>
      <c r="C27" s="6">
        <f t="shared" ref="C27:O27" si="6">SUM(C15:C25)</f>
        <v>3350</v>
      </c>
      <c r="D27" s="6">
        <f t="shared" si="6"/>
        <v>313</v>
      </c>
      <c r="E27" s="6">
        <f t="shared" si="6"/>
        <v>1832.5</v>
      </c>
      <c r="F27" s="6">
        <f t="shared" si="6"/>
        <v>3852</v>
      </c>
      <c r="G27" s="6">
        <f t="shared" si="6"/>
        <v>4625</v>
      </c>
      <c r="H27" s="6">
        <f t="shared" si="6"/>
        <v>871.5</v>
      </c>
      <c r="I27" s="6">
        <f t="shared" si="6"/>
        <v>5694.5</v>
      </c>
      <c r="J27" s="6">
        <f t="shared" si="6"/>
        <v>1147.5</v>
      </c>
      <c r="K27" s="6">
        <f t="shared" si="6"/>
        <v>7160.5</v>
      </c>
      <c r="L27" s="6">
        <f t="shared" si="6"/>
        <v>1173.5</v>
      </c>
      <c r="M27" s="6">
        <f t="shared" si="6"/>
        <v>5686.5</v>
      </c>
      <c r="N27" s="6">
        <f t="shared" si="6"/>
        <v>1199.5</v>
      </c>
      <c r="O27" s="6">
        <f t="shared" si="6"/>
        <v>36906</v>
      </c>
    </row>
    <row r="28" spans="1:15" x14ac:dyDescent="0.35">
      <c r="A28" t="s">
        <v>23</v>
      </c>
      <c r="B28" s="4"/>
      <c r="C28" s="25">
        <f t="shared" ref="C28:O28" si="7">C16+C18+C22+C23+C25</f>
        <v>225</v>
      </c>
      <c r="D28" s="25">
        <f t="shared" si="7"/>
        <v>300</v>
      </c>
      <c r="E28" s="25">
        <f t="shared" si="7"/>
        <v>300</v>
      </c>
      <c r="F28" s="25">
        <f t="shared" si="7"/>
        <v>800</v>
      </c>
      <c r="G28" s="25">
        <f t="shared" si="7"/>
        <v>800</v>
      </c>
      <c r="H28" s="25">
        <f t="shared" si="7"/>
        <v>800</v>
      </c>
      <c r="I28" s="25">
        <f t="shared" si="7"/>
        <v>1050</v>
      </c>
      <c r="J28" s="25">
        <f t="shared" si="7"/>
        <v>1050</v>
      </c>
      <c r="K28" s="25">
        <f t="shared" si="7"/>
        <v>1050</v>
      </c>
      <c r="L28" s="25">
        <f t="shared" si="7"/>
        <v>1050</v>
      </c>
      <c r="M28" s="25">
        <f t="shared" si="7"/>
        <v>1050</v>
      </c>
      <c r="N28" s="25">
        <f t="shared" si="7"/>
        <v>1050</v>
      </c>
      <c r="O28" s="25">
        <f t="shared" si="7"/>
        <v>9525</v>
      </c>
    </row>
    <row r="29" spans="1:15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35">
      <c r="A30" s="2" t="s">
        <v>24</v>
      </c>
      <c r="B30" s="4"/>
      <c r="C30" s="3">
        <f t="shared" ref="C30:O30" si="8">+C12-C27</f>
        <v>650</v>
      </c>
      <c r="D30" s="3">
        <f t="shared" si="8"/>
        <v>287</v>
      </c>
      <c r="E30" s="3">
        <f t="shared" si="8"/>
        <v>667.5</v>
      </c>
      <c r="F30" s="29">
        <f t="shared" si="8"/>
        <v>-1452</v>
      </c>
      <c r="G30" s="3">
        <f t="shared" si="8"/>
        <v>-1625</v>
      </c>
      <c r="H30" s="3">
        <f t="shared" si="8"/>
        <v>2428.5</v>
      </c>
      <c r="I30" s="3">
        <f t="shared" si="8"/>
        <v>-1794.5</v>
      </c>
      <c r="J30" s="3">
        <f t="shared" si="8"/>
        <v>3352.5</v>
      </c>
      <c r="K30" s="3">
        <f t="shared" si="8"/>
        <v>-2060.5</v>
      </c>
      <c r="L30" s="3">
        <f t="shared" si="8"/>
        <v>4526.5</v>
      </c>
      <c r="M30" s="3">
        <f t="shared" si="8"/>
        <v>613.5</v>
      </c>
      <c r="N30" s="3">
        <f t="shared" si="8"/>
        <v>5700.5</v>
      </c>
      <c r="O30" s="3">
        <f t="shared" si="8"/>
        <v>11294</v>
      </c>
    </row>
    <row r="31" spans="1:15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35">
      <c r="A32" s="2" t="s">
        <v>25</v>
      </c>
      <c r="B32" s="4"/>
      <c r="C32" s="7">
        <v>0</v>
      </c>
      <c r="D32" s="7">
        <f t="shared" ref="D32:N32" si="9">+C33</f>
        <v>650</v>
      </c>
      <c r="E32" s="7">
        <f t="shared" si="9"/>
        <v>937</v>
      </c>
      <c r="F32" s="7">
        <f t="shared" si="9"/>
        <v>1604.5</v>
      </c>
      <c r="G32" s="7">
        <f t="shared" si="9"/>
        <v>152.5</v>
      </c>
      <c r="H32" s="7">
        <f t="shared" si="9"/>
        <v>-1472.5</v>
      </c>
      <c r="I32" s="7">
        <f t="shared" si="9"/>
        <v>956</v>
      </c>
      <c r="J32" s="7">
        <f t="shared" si="9"/>
        <v>-838.5</v>
      </c>
      <c r="K32" s="7">
        <f t="shared" si="9"/>
        <v>2514</v>
      </c>
      <c r="L32" s="7">
        <f t="shared" si="9"/>
        <v>453.5</v>
      </c>
      <c r="M32" s="7">
        <f t="shared" si="9"/>
        <v>4980</v>
      </c>
      <c r="N32" s="7">
        <f t="shared" si="9"/>
        <v>5593.5</v>
      </c>
      <c r="O32" s="7">
        <f>+C32</f>
        <v>0</v>
      </c>
    </row>
    <row r="33" spans="1:15" x14ac:dyDescent="0.35">
      <c r="A33" s="2" t="s">
        <v>26</v>
      </c>
      <c r="B33" s="4"/>
      <c r="C33" s="26">
        <f t="shared" ref="C33:O33" si="10">C32+C30</f>
        <v>650</v>
      </c>
      <c r="D33" s="26">
        <f t="shared" si="10"/>
        <v>937</v>
      </c>
      <c r="E33" s="26">
        <f t="shared" si="10"/>
        <v>1604.5</v>
      </c>
      <c r="F33" s="26">
        <f t="shared" si="10"/>
        <v>152.5</v>
      </c>
      <c r="G33" s="26">
        <f t="shared" si="10"/>
        <v>-1472.5</v>
      </c>
      <c r="H33" s="26">
        <f t="shared" si="10"/>
        <v>956</v>
      </c>
      <c r="I33" s="26">
        <f t="shared" si="10"/>
        <v>-838.5</v>
      </c>
      <c r="J33" s="28">
        <f t="shared" si="10"/>
        <v>2514</v>
      </c>
      <c r="K33" s="26">
        <f t="shared" si="10"/>
        <v>453.5</v>
      </c>
      <c r="L33" s="27">
        <f t="shared" si="10"/>
        <v>4980</v>
      </c>
      <c r="M33" s="27">
        <f t="shared" si="10"/>
        <v>5593.5</v>
      </c>
      <c r="N33" s="27">
        <f t="shared" si="10"/>
        <v>11294</v>
      </c>
      <c r="O33" s="6">
        <f t="shared" si="10"/>
        <v>11294</v>
      </c>
    </row>
    <row r="34" spans="1:15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t="s">
        <v>27</v>
      </c>
      <c r="B35" s="4"/>
      <c r="C35" s="4">
        <v>0</v>
      </c>
      <c r="D35" s="4">
        <v>2</v>
      </c>
      <c r="E35" s="4">
        <v>5</v>
      </c>
      <c r="F35" s="4">
        <v>8</v>
      </c>
      <c r="G35" s="4">
        <v>10</v>
      </c>
      <c r="H35" s="4">
        <v>11</v>
      </c>
      <c r="I35" s="4">
        <f t="shared" ref="I35:N35" si="11">+H35+2</f>
        <v>13</v>
      </c>
      <c r="J35" s="4">
        <f t="shared" si="11"/>
        <v>15</v>
      </c>
      <c r="K35" s="4">
        <f t="shared" si="11"/>
        <v>17</v>
      </c>
      <c r="L35" s="4">
        <f t="shared" si="11"/>
        <v>19</v>
      </c>
      <c r="M35" s="4">
        <f t="shared" si="11"/>
        <v>21</v>
      </c>
      <c r="N35" s="4">
        <f t="shared" si="11"/>
        <v>23</v>
      </c>
      <c r="O35" s="4"/>
    </row>
    <row r="36" spans="1:15" x14ac:dyDescent="0.35">
      <c r="A36" t="s">
        <v>28</v>
      </c>
      <c r="B36" s="4"/>
      <c r="C36" s="4">
        <v>15</v>
      </c>
      <c r="D36" s="4"/>
      <c r="E36" s="4"/>
      <c r="F36" s="4">
        <v>20</v>
      </c>
      <c r="G36" s="4">
        <v>25</v>
      </c>
      <c r="H36" s="4"/>
      <c r="I36" s="4">
        <v>30</v>
      </c>
      <c r="J36" s="4"/>
      <c r="K36" s="4">
        <v>40</v>
      </c>
      <c r="L36" s="4"/>
      <c r="M36" s="4">
        <v>30</v>
      </c>
      <c r="N36" s="4"/>
      <c r="O36" s="4"/>
    </row>
    <row r="37" spans="1:15" x14ac:dyDescent="0.35">
      <c r="A37" t="s">
        <v>29</v>
      </c>
      <c r="B37" s="4"/>
      <c r="C37" s="5">
        <f t="shared" ref="C37:N37" si="12">-C35+C36</f>
        <v>15</v>
      </c>
      <c r="D37" s="5">
        <f t="shared" si="12"/>
        <v>-2</v>
      </c>
      <c r="E37" s="5">
        <f t="shared" si="12"/>
        <v>-5</v>
      </c>
      <c r="F37" s="5">
        <f t="shared" si="12"/>
        <v>12</v>
      </c>
      <c r="G37" s="5">
        <f t="shared" si="12"/>
        <v>15</v>
      </c>
      <c r="H37" s="5">
        <f t="shared" si="12"/>
        <v>-11</v>
      </c>
      <c r="I37" s="5">
        <f t="shared" si="12"/>
        <v>17</v>
      </c>
      <c r="J37" s="5">
        <f t="shared" si="12"/>
        <v>-15</v>
      </c>
      <c r="K37" s="5">
        <f t="shared" si="12"/>
        <v>23</v>
      </c>
      <c r="L37" s="5">
        <f t="shared" si="12"/>
        <v>-19</v>
      </c>
      <c r="M37" s="5">
        <f t="shared" si="12"/>
        <v>9</v>
      </c>
      <c r="N37" s="5">
        <f t="shared" si="12"/>
        <v>-23</v>
      </c>
      <c r="O37" s="4"/>
    </row>
    <row r="38" spans="1:15" x14ac:dyDescent="0.35">
      <c r="A38" t="s">
        <v>30</v>
      </c>
      <c r="B38" s="4"/>
      <c r="C38" s="4">
        <f>+C37</f>
        <v>15</v>
      </c>
      <c r="D38" s="4">
        <f t="shared" ref="D38:N38" si="13">+C38+D37</f>
        <v>13</v>
      </c>
      <c r="E38" s="4">
        <f t="shared" si="13"/>
        <v>8</v>
      </c>
      <c r="F38" s="4">
        <f t="shared" si="13"/>
        <v>20</v>
      </c>
      <c r="G38" s="4">
        <f t="shared" si="13"/>
        <v>35</v>
      </c>
      <c r="H38" s="4">
        <f t="shared" si="13"/>
        <v>24</v>
      </c>
      <c r="I38" s="4">
        <f t="shared" si="13"/>
        <v>41</v>
      </c>
      <c r="J38" s="4">
        <f t="shared" si="13"/>
        <v>26</v>
      </c>
      <c r="K38" s="4">
        <f t="shared" si="13"/>
        <v>49</v>
      </c>
      <c r="L38" s="4">
        <f t="shared" si="13"/>
        <v>30</v>
      </c>
      <c r="M38" s="4">
        <f t="shared" si="13"/>
        <v>39</v>
      </c>
      <c r="N38" s="4">
        <f t="shared" si="13"/>
        <v>16</v>
      </c>
      <c r="O38" s="4"/>
    </row>
    <row r="40" spans="1:15" x14ac:dyDescent="0.35">
      <c r="A40" s="18" t="s">
        <v>31</v>
      </c>
    </row>
    <row r="41" spans="1:15" x14ac:dyDescent="0.35">
      <c r="A41" t="s">
        <v>32</v>
      </c>
    </row>
    <row r="42" spans="1:15" x14ac:dyDescent="0.35">
      <c r="A42" t="s">
        <v>33</v>
      </c>
    </row>
    <row r="43" spans="1:15" x14ac:dyDescent="0.35">
      <c r="A43" s="4"/>
      <c r="B43" s="12"/>
      <c r="C43" s="12"/>
      <c r="D43" s="12"/>
      <c r="E43" s="12"/>
      <c r="F43" s="12"/>
      <c r="G43" s="12"/>
      <c r="H43" s="12"/>
    </row>
    <row r="44" spans="1:15" x14ac:dyDescent="0.35">
      <c r="A44" s="3"/>
      <c r="B44" s="13"/>
      <c r="C44" s="13"/>
      <c r="D44" s="13"/>
      <c r="E44" s="13"/>
      <c r="F44" s="13"/>
      <c r="G44" s="13"/>
      <c r="H44" s="13"/>
    </row>
    <row r="45" spans="1:15" x14ac:dyDescent="0.35">
      <c r="A45" s="3"/>
      <c r="B45" s="13"/>
      <c r="C45" s="13"/>
      <c r="D45" s="13"/>
      <c r="E45" s="13"/>
      <c r="F45" s="13"/>
      <c r="G45" s="13"/>
      <c r="H45" s="13"/>
    </row>
    <row r="46" spans="1:15" x14ac:dyDescent="0.35">
      <c r="A46" s="3"/>
      <c r="B46" s="13"/>
      <c r="C46" s="13"/>
      <c r="D46" s="13"/>
      <c r="E46" s="13"/>
      <c r="F46" s="13"/>
      <c r="G46" s="13"/>
      <c r="H46" s="13"/>
    </row>
    <row r="47" spans="1:15" x14ac:dyDescent="0.35">
      <c r="A47" s="3"/>
      <c r="B47" s="13"/>
      <c r="C47" s="13"/>
      <c r="D47" s="13"/>
      <c r="E47" s="13"/>
      <c r="F47" s="13"/>
      <c r="G47" s="13"/>
      <c r="H47" s="13"/>
    </row>
    <row r="48" spans="1:15" x14ac:dyDescent="0.35">
      <c r="A48" s="3"/>
      <c r="B48" s="13"/>
      <c r="C48" s="13"/>
      <c r="D48" s="13"/>
      <c r="E48" s="13"/>
      <c r="F48" s="13"/>
      <c r="G48" s="13"/>
      <c r="H48" s="13"/>
    </row>
    <row r="49" spans="1:8" x14ac:dyDescent="0.35">
      <c r="A49" s="3"/>
      <c r="B49" s="13"/>
      <c r="C49" s="13"/>
      <c r="D49" s="13"/>
      <c r="E49" s="13"/>
      <c r="F49" s="13"/>
      <c r="G49" s="13"/>
      <c r="H49" s="13"/>
    </row>
    <row r="50" spans="1:8" x14ac:dyDescent="0.35">
      <c r="A50" s="3"/>
    </row>
    <row r="51" spans="1:8" x14ac:dyDescent="0.35">
      <c r="A51" s="3"/>
    </row>
    <row r="52" spans="1:8" x14ac:dyDescent="0.35">
      <c r="A52" s="3"/>
    </row>
    <row r="53" spans="1:8" x14ac:dyDescent="0.35">
      <c r="A53" s="3"/>
    </row>
    <row r="54" spans="1:8" x14ac:dyDescent="0.35">
      <c r="A54" s="3"/>
    </row>
    <row r="55" spans="1:8" x14ac:dyDescent="0.35">
      <c r="A55" s="3"/>
    </row>
  </sheetData>
  <mergeCells count="3">
    <mergeCell ref="A1:O1"/>
    <mergeCell ref="A3:O3"/>
    <mergeCell ref="A2:O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tabSelected="1" workbookViewId="0">
      <pane xSplit="2" ySplit="3" topLeftCell="C7" activePane="bottomRight" state="frozen"/>
      <selection pane="topRight"/>
      <selection pane="bottomLeft"/>
      <selection pane="bottomRight" activeCell="C30" sqref="C30"/>
    </sheetView>
  </sheetViews>
  <sheetFormatPr defaultRowHeight="14.5" x14ac:dyDescent="0.35"/>
  <cols>
    <col min="1" max="1" width="38" customWidth="1"/>
    <col min="2" max="15" width="12" customWidth="1"/>
  </cols>
  <sheetData>
    <row r="1" spans="1:15" ht="24" customHeight="1" x14ac:dyDescent="0.45">
      <c r="A1" s="30" t="s">
        <v>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3" spans="1:15" x14ac:dyDescent="0.35">
      <c r="A3" s="32" t="s">
        <v>50</v>
      </c>
      <c r="B3" s="33" t="s">
        <v>51</v>
      </c>
      <c r="C3" s="33" t="s">
        <v>52</v>
      </c>
      <c r="D3" s="33" t="s">
        <v>53</v>
      </c>
      <c r="E3" s="33" t="s">
        <v>54</v>
      </c>
      <c r="F3" s="33" t="s">
        <v>55</v>
      </c>
      <c r="G3" s="33" t="s">
        <v>56</v>
      </c>
      <c r="H3" s="33" t="s">
        <v>57</v>
      </c>
      <c r="I3" s="33" t="s">
        <v>58</v>
      </c>
      <c r="J3" s="33" t="s">
        <v>59</v>
      </c>
      <c r="K3" s="33" t="s">
        <v>60</v>
      </c>
      <c r="L3" s="33" t="s">
        <v>61</v>
      </c>
      <c r="M3" s="33" t="s">
        <v>62</v>
      </c>
      <c r="N3" s="33" t="s">
        <v>63</v>
      </c>
      <c r="O3" s="33" t="s">
        <v>64</v>
      </c>
    </row>
    <row r="5" spans="1:15" x14ac:dyDescent="0.35">
      <c r="A5" s="34" t="s">
        <v>65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 x14ac:dyDescent="0.35">
      <c r="A6" s="36" t="s">
        <v>66</v>
      </c>
      <c r="C6" s="37">
        <v>0</v>
      </c>
      <c r="D6" s="37">
        <f t="shared" ref="D6:N6" si="0">C10</f>
        <v>0</v>
      </c>
      <c r="E6" s="37">
        <f t="shared" si="0"/>
        <v>2</v>
      </c>
      <c r="F6" s="37">
        <f t="shared" si="0"/>
        <v>5</v>
      </c>
      <c r="G6" s="37">
        <f t="shared" si="0"/>
        <v>8</v>
      </c>
      <c r="H6" s="37">
        <f t="shared" si="0"/>
        <v>10</v>
      </c>
      <c r="I6" s="37">
        <f t="shared" si="0"/>
        <v>11</v>
      </c>
      <c r="J6" s="37">
        <f t="shared" si="0"/>
        <v>13</v>
      </c>
      <c r="K6" s="37">
        <f t="shared" si="0"/>
        <v>15</v>
      </c>
      <c r="L6" s="37">
        <f t="shared" si="0"/>
        <v>17</v>
      </c>
      <c r="M6" s="37">
        <f t="shared" si="0"/>
        <v>19</v>
      </c>
      <c r="N6" s="37">
        <f t="shared" si="0"/>
        <v>21</v>
      </c>
    </row>
    <row r="7" spans="1:15" x14ac:dyDescent="0.35">
      <c r="A7" s="36" t="s">
        <v>67</v>
      </c>
      <c r="C7" s="37">
        <f>'Cash Flow Forecasting'!C35</f>
        <v>0</v>
      </c>
      <c r="D7" s="37">
        <f>MAX('Cash Flow Forecasting'!D35-'Cash Flow Forecasting'!C35+C10*$B$8,0)</f>
        <v>2</v>
      </c>
      <c r="E7" s="37">
        <f>MAX('Cash Flow Forecasting'!E35-'Cash Flow Forecasting'!D35+D10*$B$8,0)</f>
        <v>3.06</v>
      </c>
      <c r="F7" s="37">
        <f>MAX('Cash Flow Forecasting'!F35-'Cash Flow Forecasting'!E35+E10*$B$8,0)</f>
        <v>3.15</v>
      </c>
      <c r="G7" s="37">
        <f>MAX('Cash Flow Forecasting'!G35-'Cash Flow Forecasting'!F35+F10*$B$8,0)</f>
        <v>2.2400000000000002</v>
      </c>
      <c r="H7" s="37">
        <f>MAX('Cash Flow Forecasting'!H35-'Cash Flow Forecasting'!G35+G10*$B$8,0)</f>
        <v>1.3</v>
      </c>
      <c r="I7" s="37">
        <f>MAX('Cash Flow Forecasting'!I35-'Cash Flow Forecasting'!H35+H10*$B$8,0)</f>
        <v>2.33</v>
      </c>
      <c r="J7" s="37">
        <f>MAX('Cash Flow Forecasting'!J35-'Cash Flow Forecasting'!I35+I10*$B$8,0)</f>
        <v>2.39</v>
      </c>
      <c r="K7" s="37">
        <f>MAX('Cash Flow Forecasting'!K35-'Cash Flow Forecasting'!J35+J10*$B$8,0)</f>
        <v>2.4500000000000002</v>
      </c>
      <c r="L7" s="37">
        <f>MAX('Cash Flow Forecasting'!L35-'Cash Flow Forecasting'!K35+K10*$B$8,0)</f>
        <v>2.5099999999999998</v>
      </c>
      <c r="M7" s="37">
        <f>MAX('Cash Flow Forecasting'!M35-'Cash Flow Forecasting'!L35+L10*$B$8,0)</f>
        <v>2.57</v>
      </c>
      <c r="N7" s="37">
        <f>MAX('Cash Flow Forecasting'!N35-'Cash Flow Forecasting'!M35+M10*$B$8,0)</f>
        <v>2.63</v>
      </c>
    </row>
    <row r="8" spans="1:15" x14ac:dyDescent="0.35">
      <c r="A8" s="36" t="s">
        <v>68</v>
      </c>
      <c r="B8" s="38">
        <v>0.03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1:15" x14ac:dyDescent="0.35">
      <c r="A9" s="36" t="s">
        <v>69</v>
      </c>
      <c r="C9" s="37">
        <f t="shared" ref="C9:N9" si="1">ROUND(C6*$B$8,0)</f>
        <v>0</v>
      </c>
      <c r="D9" s="37">
        <f t="shared" si="1"/>
        <v>0</v>
      </c>
      <c r="E9" s="37">
        <f t="shared" si="1"/>
        <v>0</v>
      </c>
      <c r="F9" s="37">
        <f t="shared" si="1"/>
        <v>0</v>
      </c>
      <c r="G9" s="37">
        <f t="shared" si="1"/>
        <v>0</v>
      </c>
      <c r="H9" s="37">
        <f t="shared" si="1"/>
        <v>0</v>
      </c>
      <c r="I9" s="37">
        <f t="shared" si="1"/>
        <v>0</v>
      </c>
      <c r="J9" s="37">
        <f t="shared" si="1"/>
        <v>0</v>
      </c>
      <c r="K9" s="37">
        <f t="shared" si="1"/>
        <v>0</v>
      </c>
      <c r="L9" s="37">
        <f t="shared" si="1"/>
        <v>1</v>
      </c>
      <c r="M9" s="37">
        <f t="shared" si="1"/>
        <v>1</v>
      </c>
      <c r="N9" s="37">
        <f t="shared" si="1"/>
        <v>1</v>
      </c>
    </row>
    <row r="10" spans="1:15" x14ac:dyDescent="0.35">
      <c r="A10" s="40" t="s">
        <v>70</v>
      </c>
      <c r="C10" s="41">
        <f>'Cash Flow Forecasting'!C35</f>
        <v>0</v>
      </c>
      <c r="D10" s="41">
        <f>'Cash Flow Forecasting'!D35</f>
        <v>2</v>
      </c>
      <c r="E10" s="41">
        <f>'Cash Flow Forecasting'!E35</f>
        <v>5</v>
      </c>
      <c r="F10" s="41">
        <f>'Cash Flow Forecasting'!F35</f>
        <v>8</v>
      </c>
      <c r="G10" s="41">
        <f>'Cash Flow Forecasting'!G35</f>
        <v>10</v>
      </c>
      <c r="H10" s="41">
        <f>'Cash Flow Forecasting'!H35</f>
        <v>11</v>
      </c>
      <c r="I10" s="41">
        <f>'Cash Flow Forecasting'!I35</f>
        <v>13</v>
      </c>
      <c r="J10" s="41">
        <f>'Cash Flow Forecasting'!J35</f>
        <v>15</v>
      </c>
      <c r="K10" s="41">
        <f>'Cash Flow Forecasting'!K35</f>
        <v>17</v>
      </c>
      <c r="L10" s="41">
        <f>'Cash Flow Forecasting'!L35</f>
        <v>19</v>
      </c>
      <c r="M10" s="41">
        <f>'Cash Flow Forecasting'!M35</f>
        <v>21</v>
      </c>
      <c r="N10" s="41">
        <f>'Cash Flow Forecasting'!N35</f>
        <v>23</v>
      </c>
    </row>
    <row r="11" spans="1:15" x14ac:dyDescent="0.35">
      <c r="A11" s="36" t="s">
        <v>71</v>
      </c>
      <c r="C11" s="37">
        <f t="shared" ref="C11:N11" si="2">(C6+C10)/2</f>
        <v>0</v>
      </c>
      <c r="D11" s="37">
        <f t="shared" si="2"/>
        <v>1</v>
      </c>
      <c r="E11" s="37">
        <f t="shared" si="2"/>
        <v>3.5</v>
      </c>
      <c r="F11" s="37">
        <f t="shared" si="2"/>
        <v>6.5</v>
      </c>
      <c r="G11" s="37">
        <f t="shared" si="2"/>
        <v>9</v>
      </c>
      <c r="H11" s="37">
        <f t="shared" si="2"/>
        <v>10.5</v>
      </c>
      <c r="I11" s="37">
        <f t="shared" si="2"/>
        <v>12</v>
      </c>
      <c r="J11" s="37">
        <f t="shared" si="2"/>
        <v>14</v>
      </c>
      <c r="K11" s="37">
        <f t="shared" si="2"/>
        <v>16</v>
      </c>
      <c r="L11" s="37">
        <f t="shared" si="2"/>
        <v>18</v>
      </c>
      <c r="M11" s="37">
        <f t="shared" si="2"/>
        <v>20</v>
      </c>
      <c r="N11" s="37">
        <f t="shared" si="2"/>
        <v>22</v>
      </c>
    </row>
    <row r="13" spans="1:15" x14ac:dyDescent="0.35">
      <c r="A13" s="34" t="s">
        <v>72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5" x14ac:dyDescent="0.35">
      <c r="A14" s="36" t="s">
        <v>73</v>
      </c>
      <c r="B14" s="42" t="s">
        <v>74</v>
      </c>
      <c r="C14" s="43">
        <f>'Cash Flow Forecasting'!$B$8</f>
        <v>300</v>
      </c>
      <c r="D14" s="43">
        <f>'Cash Flow Forecasting'!$B$8</f>
        <v>300</v>
      </c>
      <c r="E14" s="43">
        <f>'Cash Flow Forecasting'!$B$8</f>
        <v>300</v>
      </c>
      <c r="F14" s="43">
        <f>'Cash Flow Forecasting'!$B$8</f>
        <v>300</v>
      </c>
      <c r="G14" s="43">
        <f>'Cash Flow Forecasting'!$B$8</f>
        <v>300</v>
      </c>
      <c r="H14" s="43">
        <f>'Cash Flow Forecasting'!$B$8</f>
        <v>300</v>
      </c>
      <c r="I14" s="43">
        <f>'Cash Flow Forecasting'!$B$8</f>
        <v>300</v>
      </c>
      <c r="J14" s="43">
        <f>'Cash Flow Forecasting'!$B$8</f>
        <v>300</v>
      </c>
      <c r="K14" s="43">
        <f>'Cash Flow Forecasting'!$B$8</f>
        <v>300</v>
      </c>
      <c r="L14" s="43">
        <f>'Cash Flow Forecasting'!$B$8</f>
        <v>300</v>
      </c>
      <c r="M14" s="43">
        <f>'Cash Flow Forecasting'!$B$8</f>
        <v>300</v>
      </c>
      <c r="N14" s="43">
        <f>'Cash Flow Forecasting'!$B$8</f>
        <v>300</v>
      </c>
    </row>
    <row r="15" spans="1:15" x14ac:dyDescent="0.35">
      <c r="A15" s="40" t="s">
        <v>75</v>
      </c>
      <c r="C15" s="44">
        <f t="shared" ref="C15:N15" si="3">C11*C14</f>
        <v>0</v>
      </c>
      <c r="D15" s="44">
        <f t="shared" si="3"/>
        <v>300</v>
      </c>
      <c r="E15" s="44">
        <f t="shared" si="3"/>
        <v>1050</v>
      </c>
      <c r="F15" s="44">
        <f t="shared" si="3"/>
        <v>1950</v>
      </c>
      <c r="G15" s="44">
        <f t="shared" si="3"/>
        <v>2700</v>
      </c>
      <c r="H15" s="44">
        <f t="shared" si="3"/>
        <v>3150</v>
      </c>
      <c r="I15" s="44">
        <f t="shared" si="3"/>
        <v>3600</v>
      </c>
      <c r="J15" s="44">
        <f t="shared" si="3"/>
        <v>4200</v>
      </c>
      <c r="K15" s="44">
        <f t="shared" si="3"/>
        <v>4800</v>
      </c>
      <c r="L15" s="44">
        <f t="shared" si="3"/>
        <v>5400</v>
      </c>
      <c r="M15" s="44">
        <f t="shared" si="3"/>
        <v>6000</v>
      </c>
      <c r="N15" s="44">
        <f t="shared" si="3"/>
        <v>6600</v>
      </c>
      <c r="O15" s="45">
        <f>SUM(C15:N15)</f>
        <v>39750</v>
      </c>
    </row>
    <row r="16" spans="1:15" x14ac:dyDescent="0.35">
      <c r="A16" s="40" t="s">
        <v>76</v>
      </c>
      <c r="C16" s="44">
        <f t="shared" ref="C16:N16" si="4">C10*C14*12</f>
        <v>0</v>
      </c>
      <c r="D16" s="44">
        <f t="shared" si="4"/>
        <v>7200</v>
      </c>
      <c r="E16" s="44">
        <f t="shared" si="4"/>
        <v>18000</v>
      </c>
      <c r="F16" s="44">
        <f t="shared" si="4"/>
        <v>28800</v>
      </c>
      <c r="G16" s="44">
        <f t="shared" si="4"/>
        <v>36000</v>
      </c>
      <c r="H16" s="44">
        <f t="shared" si="4"/>
        <v>39600</v>
      </c>
      <c r="I16" s="44">
        <f t="shared" si="4"/>
        <v>46800</v>
      </c>
      <c r="J16" s="44">
        <f t="shared" si="4"/>
        <v>54000</v>
      </c>
      <c r="K16" s="44">
        <f t="shared" si="4"/>
        <v>61200</v>
      </c>
      <c r="L16" s="44">
        <f t="shared" si="4"/>
        <v>68400</v>
      </c>
      <c r="M16" s="44">
        <f t="shared" si="4"/>
        <v>75600</v>
      </c>
      <c r="N16" s="44">
        <f t="shared" si="4"/>
        <v>82800</v>
      </c>
    </row>
    <row r="17" spans="1:15" x14ac:dyDescent="0.35">
      <c r="A17" s="36" t="s">
        <v>77</v>
      </c>
      <c r="C17" s="46"/>
      <c r="D17" s="46">
        <f t="shared" ref="D17:N17" si="5">IFERROR(D15/C15-1,0)</f>
        <v>0</v>
      </c>
      <c r="E17" s="46">
        <f t="shared" si="5"/>
        <v>2.5</v>
      </c>
      <c r="F17" s="46">
        <f t="shared" si="5"/>
        <v>0.85714285714285721</v>
      </c>
      <c r="G17" s="46">
        <f t="shared" si="5"/>
        <v>0.38461538461538458</v>
      </c>
      <c r="H17" s="46">
        <f t="shared" si="5"/>
        <v>0.16666666666666674</v>
      </c>
      <c r="I17" s="46">
        <f t="shared" si="5"/>
        <v>0.14285714285714279</v>
      </c>
      <c r="J17" s="46">
        <f t="shared" si="5"/>
        <v>0.16666666666666674</v>
      </c>
      <c r="K17" s="46">
        <f t="shared" si="5"/>
        <v>0.14285714285714279</v>
      </c>
      <c r="L17" s="46">
        <f t="shared" si="5"/>
        <v>0.125</v>
      </c>
      <c r="M17" s="46">
        <f t="shared" si="5"/>
        <v>0.11111111111111116</v>
      </c>
      <c r="N17" s="46">
        <f t="shared" si="5"/>
        <v>0.10000000000000009</v>
      </c>
    </row>
    <row r="19" spans="1:15" x14ac:dyDescent="0.35">
      <c r="A19" s="34" t="s">
        <v>78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</row>
    <row r="20" spans="1:15" x14ac:dyDescent="0.35">
      <c r="A20" s="36" t="s">
        <v>79</v>
      </c>
      <c r="C20" s="43">
        <f>'Cash Flow Forecasting'!C18</f>
        <v>150</v>
      </c>
      <c r="D20" s="43">
        <f>'Cash Flow Forecasting'!D18</f>
        <v>150</v>
      </c>
      <c r="E20" s="43">
        <f>'Cash Flow Forecasting'!E18</f>
        <v>150</v>
      </c>
      <c r="F20" s="43">
        <f>'Cash Flow Forecasting'!F18</f>
        <v>150</v>
      </c>
      <c r="G20" s="43">
        <f>'Cash Flow Forecasting'!G18</f>
        <v>150</v>
      </c>
      <c r="H20" s="43">
        <f>'Cash Flow Forecasting'!H18</f>
        <v>150</v>
      </c>
      <c r="I20" s="43">
        <f>'Cash Flow Forecasting'!I18</f>
        <v>150</v>
      </c>
      <c r="J20" s="43">
        <f>'Cash Flow Forecasting'!J18</f>
        <v>150</v>
      </c>
      <c r="K20" s="43">
        <f>'Cash Flow Forecasting'!K18</f>
        <v>150</v>
      </c>
      <c r="L20" s="43">
        <f>'Cash Flow Forecasting'!L18</f>
        <v>150</v>
      </c>
      <c r="M20" s="43">
        <f>'Cash Flow Forecasting'!M18</f>
        <v>150</v>
      </c>
      <c r="N20" s="43">
        <f>'Cash Flow Forecasting'!N18</f>
        <v>150</v>
      </c>
    </row>
    <row r="21" spans="1:15" x14ac:dyDescent="0.35">
      <c r="A21" s="36" t="s">
        <v>80</v>
      </c>
      <c r="C21" s="43">
        <f t="shared" ref="C21:N21" si="6">IFERROR(C20/C7,0)</f>
        <v>0</v>
      </c>
      <c r="D21" s="43">
        <f t="shared" si="6"/>
        <v>75</v>
      </c>
      <c r="E21" s="43">
        <f t="shared" si="6"/>
        <v>49.019607843137251</v>
      </c>
      <c r="F21" s="43">
        <f t="shared" si="6"/>
        <v>47.61904761904762</v>
      </c>
      <c r="G21" s="43">
        <f t="shared" si="6"/>
        <v>66.964285714285708</v>
      </c>
      <c r="H21" s="43">
        <f t="shared" si="6"/>
        <v>115.38461538461539</v>
      </c>
      <c r="I21" s="43">
        <f t="shared" si="6"/>
        <v>64.377682403433468</v>
      </c>
      <c r="J21" s="43">
        <f t="shared" si="6"/>
        <v>62.761506276150627</v>
      </c>
      <c r="K21" s="43">
        <f t="shared" si="6"/>
        <v>61.224489795918366</v>
      </c>
      <c r="L21" s="43">
        <f t="shared" si="6"/>
        <v>59.760956175298809</v>
      </c>
      <c r="M21" s="43">
        <f t="shared" si="6"/>
        <v>58.365758754863819</v>
      </c>
      <c r="N21" s="43">
        <f t="shared" si="6"/>
        <v>57.034220532319395</v>
      </c>
    </row>
    <row r="22" spans="1:15" x14ac:dyDescent="0.35">
      <c r="A22" s="36" t="s">
        <v>81</v>
      </c>
      <c r="B22" s="38">
        <v>0.75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</row>
    <row r="23" spans="1:15" x14ac:dyDescent="0.35">
      <c r="A23" s="36" t="s">
        <v>82</v>
      </c>
      <c r="C23" s="43">
        <f t="shared" ref="C23:N23" si="7">IFERROR(C14*$B$22/$B$8,0)</f>
        <v>7500</v>
      </c>
      <c r="D23" s="43">
        <f t="shared" si="7"/>
        <v>7500</v>
      </c>
      <c r="E23" s="43">
        <f t="shared" si="7"/>
        <v>7500</v>
      </c>
      <c r="F23" s="43">
        <f t="shared" si="7"/>
        <v>7500</v>
      </c>
      <c r="G23" s="43">
        <f t="shared" si="7"/>
        <v>7500</v>
      </c>
      <c r="H23" s="43">
        <f t="shared" si="7"/>
        <v>7500</v>
      </c>
      <c r="I23" s="43">
        <f t="shared" si="7"/>
        <v>7500</v>
      </c>
      <c r="J23" s="43">
        <f t="shared" si="7"/>
        <v>7500</v>
      </c>
      <c r="K23" s="43">
        <f t="shared" si="7"/>
        <v>7500</v>
      </c>
      <c r="L23" s="43">
        <f t="shared" si="7"/>
        <v>7500</v>
      </c>
      <c r="M23" s="43">
        <f t="shared" si="7"/>
        <v>7500</v>
      </c>
      <c r="N23" s="43">
        <f t="shared" si="7"/>
        <v>7500</v>
      </c>
    </row>
    <row r="24" spans="1:15" x14ac:dyDescent="0.35">
      <c r="A24" s="40" t="s">
        <v>83</v>
      </c>
      <c r="C24" s="47">
        <f t="shared" ref="C24:N24" si="8">IFERROR(C23/C21,0)</f>
        <v>0</v>
      </c>
      <c r="D24" s="47">
        <f t="shared" si="8"/>
        <v>100</v>
      </c>
      <c r="E24" s="47">
        <f t="shared" si="8"/>
        <v>153</v>
      </c>
      <c r="F24" s="47">
        <f t="shared" si="8"/>
        <v>157.5</v>
      </c>
      <c r="G24" s="47">
        <f t="shared" si="8"/>
        <v>112.00000000000001</v>
      </c>
      <c r="H24" s="47">
        <f t="shared" si="8"/>
        <v>65</v>
      </c>
      <c r="I24" s="47">
        <f t="shared" si="8"/>
        <v>116.50000000000001</v>
      </c>
      <c r="J24" s="47">
        <f t="shared" si="8"/>
        <v>119.5</v>
      </c>
      <c r="K24" s="47">
        <f t="shared" si="8"/>
        <v>122.5</v>
      </c>
      <c r="L24" s="47">
        <f t="shared" si="8"/>
        <v>125.49999999999999</v>
      </c>
      <c r="M24" s="47">
        <f t="shared" si="8"/>
        <v>128.5</v>
      </c>
      <c r="N24" s="47">
        <f t="shared" si="8"/>
        <v>131.5</v>
      </c>
    </row>
    <row r="25" spans="1:15" x14ac:dyDescent="0.35">
      <c r="A25" s="36" t="s">
        <v>84</v>
      </c>
      <c r="C25" s="48">
        <f t="shared" ref="C25:N25" si="9">IFERROR(C21/(C14*$B$22),0)</f>
        <v>0</v>
      </c>
      <c r="D25" s="48">
        <f t="shared" si="9"/>
        <v>0.33333333333333331</v>
      </c>
      <c r="E25" s="48">
        <f t="shared" si="9"/>
        <v>0.21786492374727667</v>
      </c>
      <c r="F25" s="48">
        <f t="shared" si="9"/>
        <v>0.21164021164021166</v>
      </c>
      <c r="G25" s="48">
        <f t="shared" si="9"/>
        <v>0.29761904761904762</v>
      </c>
      <c r="H25" s="48">
        <f t="shared" si="9"/>
        <v>0.51282051282051277</v>
      </c>
      <c r="I25" s="48">
        <f t="shared" si="9"/>
        <v>0.28612303290414876</v>
      </c>
      <c r="J25" s="48">
        <f t="shared" si="9"/>
        <v>0.2789400278940028</v>
      </c>
      <c r="K25" s="48">
        <f t="shared" si="9"/>
        <v>0.27210884353741494</v>
      </c>
      <c r="L25" s="48">
        <f t="shared" si="9"/>
        <v>0.26560424966799473</v>
      </c>
      <c r="M25" s="48">
        <f t="shared" si="9"/>
        <v>0.25940337224383919</v>
      </c>
      <c r="N25" s="48">
        <f t="shared" si="9"/>
        <v>0.25348542458808621</v>
      </c>
    </row>
    <row r="27" spans="1:15" x14ac:dyDescent="0.35">
      <c r="A27" s="34" t="s">
        <v>85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 spans="1:15" x14ac:dyDescent="0.35">
      <c r="A28" s="36" t="s">
        <v>86</v>
      </c>
      <c r="B28" s="38">
        <v>1.05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</row>
    <row r="29" spans="1:15" x14ac:dyDescent="0.35">
      <c r="A29" s="36" t="s">
        <v>87</v>
      </c>
      <c r="C29" s="46"/>
      <c r="D29" s="46">
        <f t="shared" ref="D29:N29" si="10">IFERROR((D15/C15-1)*12,0)</f>
        <v>0</v>
      </c>
      <c r="E29" s="46">
        <f t="shared" si="10"/>
        <v>30</v>
      </c>
      <c r="F29" s="46">
        <f t="shared" si="10"/>
        <v>10.285714285714286</v>
      </c>
      <c r="G29" s="46">
        <f t="shared" si="10"/>
        <v>4.615384615384615</v>
      </c>
      <c r="H29" s="46">
        <f t="shared" si="10"/>
        <v>2.0000000000000009</v>
      </c>
      <c r="I29" s="46">
        <f t="shared" si="10"/>
        <v>1.7142857142857135</v>
      </c>
      <c r="J29" s="46">
        <f t="shared" si="10"/>
        <v>2.0000000000000009</v>
      </c>
      <c r="K29" s="46">
        <f t="shared" si="10"/>
        <v>1.7142857142857135</v>
      </c>
      <c r="L29" s="46">
        <f t="shared" si="10"/>
        <v>1.5</v>
      </c>
      <c r="M29" s="46">
        <f t="shared" si="10"/>
        <v>1.3333333333333339</v>
      </c>
      <c r="N29" s="46">
        <f t="shared" si="10"/>
        <v>1.2000000000000011</v>
      </c>
    </row>
    <row r="30" spans="1:15" x14ac:dyDescent="0.35">
      <c r="A30" s="36" t="s">
        <v>88</v>
      </c>
      <c r="C30" s="43">
        <f>'Cash Flow Forecasting'!C33</f>
        <v>650</v>
      </c>
      <c r="D30" s="43">
        <f>'Cash Flow Forecasting'!D33</f>
        <v>937</v>
      </c>
      <c r="E30" s="43">
        <f>'Cash Flow Forecasting'!E33</f>
        <v>1604.5</v>
      </c>
      <c r="F30" s="43">
        <f>'Cash Flow Forecasting'!F33</f>
        <v>152.5</v>
      </c>
      <c r="G30" s="43">
        <f>'Cash Flow Forecasting'!G33</f>
        <v>-1472.5</v>
      </c>
      <c r="H30" s="43">
        <f>'Cash Flow Forecasting'!H33</f>
        <v>956</v>
      </c>
      <c r="I30" s="43">
        <f>'Cash Flow Forecasting'!I33</f>
        <v>-838.5</v>
      </c>
      <c r="J30" s="43">
        <f>'Cash Flow Forecasting'!J33</f>
        <v>2514</v>
      </c>
      <c r="K30" s="43">
        <f>'Cash Flow Forecasting'!K33</f>
        <v>453.5</v>
      </c>
      <c r="L30" s="43">
        <f>'Cash Flow Forecasting'!L33</f>
        <v>4980</v>
      </c>
      <c r="M30" s="43">
        <f>'Cash Flow Forecasting'!M33</f>
        <v>5593.5</v>
      </c>
      <c r="N30" s="43">
        <f>'Cash Flow Forecasting'!N33</f>
        <v>11294</v>
      </c>
    </row>
    <row r="31" spans="1:15" x14ac:dyDescent="0.35">
      <c r="A31" s="36" t="s">
        <v>89</v>
      </c>
      <c r="C31" s="43">
        <f>'Cash Flow Forecasting'!C28</f>
        <v>225</v>
      </c>
      <c r="D31" s="43">
        <f>'Cash Flow Forecasting'!D28</f>
        <v>300</v>
      </c>
      <c r="E31" s="43">
        <f>'Cash Flow Forecasting'!E28</f>
        <v>300</v>
      </c>
      <c r="F31" s="43">
        <f>'Cash Flow Forecasting'!F28</f>
        <v>800</v>
      </c>
      <c r="G31" s="43">
        <f>'Cash Flow Forecasting'!G28</f>
        <v>800</v>
      </c>
      <c r="H31" s="43">
        <f>'Cash Flow Forecasting'!H28</f>
        <v>800</v>
      </c>
      <c r="I31" s="43">
        <f>'Cash Flow Forecasting'!I28</f>
        <v>1050</v>
      </c>
      <c r="J31" s="43">
        <f>'Cash Flow Forecasting'!J28</f>
        <v>1050</v>
      </c>
      <c r="K31" s="43">
        <f>'Cash Flow Forecasting'!K28</f>
        <v>1050</v>
      </c>
      <c r="L31" s="43">
        <f>'Cash Flow Forecasting'!L28</f>
        <v>1050</v>
      </c>
      <c r="M31" s="43">
        <f>'Cash Flow Forecasting'!M28</f>
        <v>1050</v>
      </c>
      <c r="N31" s="43">
        <f>'Cash Flow Forecasting'!N28</f>
        <v>1050</v>
      </c>
    </row>
    <row r="32" spans="1:15" x14ac:dyDescent="0.35">
      <c r="A32" s="40" t="s">
        <v>90</v>
      </c>
      <c r="C32" s="49">
        <f t="shared" ref="C32:N32" si="11">IFERROR(C30/C31,0)</f>
        <v>2.8888888888888888</v>
      </c>
      <c r="D32" s="49">
        <f t="shared" si="11"/>
        <v>3.1233333333333335</v>
      </c>
      <c r="E32" s="49">
        <f t="shared" si="11"/>
        <v>5.3483333333333336</v>
      </c>
      <c r="F32" s="49">
        <f t="shared" si="11"/>
        <v>0.19062499999999999</v>
      </c>
      <c r="G32" s="49">
        <f t="shared" si="11"/>
        <v>-1.840625</v>
      </c>
      <c r="H32" s="49">
        <f t="shared" si="11"/>
        <v>1.1950000000000001</v>
      </c>
      <c r="I32" s="49">
        <f t="shared" si="11"/>
        <v>-0.7985714285714286</v>
      </c>
      <c r="J32" s="49">
        <f t="shared" si="11"/>
        <v>2.3942857142857141</v>
      </c>
      <c r="K32" s="49">
        <f t="shared" si="11"/>
        <v>0.4319047619047619</v>
      </c>
      <c r="L32" s="49">
        <f t="shared" si="11"/>
        <v>4.7428571428571429</v>
      </c>
      <c r="M32" s="49">
        <f t="shared" si="11"/>
        <v>5.3271428571428574</v>
      </c>
      <c r="N32" s="49">
        <f t="shared" si="11"/>
        <v>10.756190476190476</v>
      </c>
    </row>
    <row r="34" spans="1:1" x14ac:dyDescent="0.35">
      <c r="A34" s="50" t="s">
        <v>91</v>
      </c>
    </row>
    <row r="35" spans="1:1" x14ac:dyDescent="0.35">
      <c r="A35" s="51" t="s">
        <v>92</v>
      </c>
    </row>
    <row r="36" spans="1:1" x14ac:dyDescent="0.35">
      <c r="A36" s="52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23"/>
  <sheetViews>
    <sheetView showGridLines="0" workbookViewId="0">
      <selection activeCell="H9" sqref="H9"/>
    </sheetView>
  </sheetViews>
  <sheetFormatPr defaultRowHeight="14.5" x14ac:dyDescent="0.35"/>
  <cols>
    <col min="1" max="1" width="18.90625" bestFit="1" customWidth="1"/>
    <col min="2" max="2" width="14.81640625" bestFit="1" customWidth="1"/>
    <col min="3" max="3" width="9.81640625" bestFit="1" customWidth="1"/>
    <col min="4" max="4" width="16.7265625" bestFit="1" customWidth="1"/>
    <col min="5" max="5" width="15.6328125" customWidth="1"/>
    <col min="6" max="8" width="11.1796875" bestFit="1" customWidth="1"/>
    <col min="15" max="15" width="18.90625" bestFit="1" customWidth="1"/>
    <col min="16" max="16" width="14.81640625" bestFit="1" customWidth="1"/>
    <col min="17" max="17" width="17.453125" bestFit="1" customWidth="1"/>
    <col min="18" max="18" width="9.81640625" bestFit="1" customWidth="1"/>
    <col min="19" max="19" width="16.7265625" bestFit="1" customWidth="1"/>
  </cols>
  <sheetData>
    <row r="2" spans="1:9" ht="31" customHeight="1" x14ac:dyDescent="0.7">
      <c r="A2" s="56" t="s">
        <v>94</v>
      </c>
      <c r="B2" s="54"/>
      <c r="C2" s="54"/>
      <c r="D2" s="54"/>
      <c r="E2" s="54"/>
    </row>
    <row r="3" spans="1:9" x14ac:dyDescent="0.35">
      <c r="A3" s="16" t="s">
        <v>95</v>
      </c>
    </row>
    <row r="5" spans="1:9" x14ac:dyDescent="0.35">
      <c r="A5" t="s">
        <v>96</v>
      </c>
      <c r="B5" t="s">
        <v>97</v>
      </c>
      <c r="C5" t="s">
        <v>98</v>
      </c>
      <c r="D5" t="s">
        <v>99</v>
      </c>
    </row>
    <row r="6" spans="1:9" x14ac:dyDescent="0.35">
      <c r="A6" t="s">
        <v>100</v>
      </c>
      <c r="B6" s="3">
        <v>250</v>
      </c>
      <c r="C6" s="14">
        <v>0.05</v>
      </c>
      <c r="D6" s="13">
        <f>Table58[[#This Row],[Monitor Price]]*(1+Table58[[#This Row],[Sales %]])</f>
        <v>262.5</v>
      </c>
    </row>
    <row r="7" spans="1:9" x14ac:dyDescent="0.35">
      <c r="A7" t="s">
        <v>101</v>
      </c>
      <c r="B7" s="3">
        <v>300</v>
      </c>
      <c r="C7" s="14">
        <v>0.03</v>
      </c>
      <c r="D7" s="13">
        <f>Table58[[#This Row],[Monitor Price]]*(1+Table58[[#This Row],[Sales %]])</f>
        <v>309</v>
      </c>
    </row>
    <row r="8" spans="1:9" x14ac:dyDescent="0.35">
      <c r="A8" t="s">
        <v>102</v>
      </c>
      <c r="B8" s="3">
        <v>350</v>
      </c>
      <c r="C8" s="14">
        <v>0.02</v>
      </c>
      <c r="D8" s="13">
        <f>Table58[[#This Row],[Monitor Price]]*(1+Table58[[#This Row],[Sales %]])</f>
        <v>357</v>
      </c>
    </row>
    <row r="9" spans="1:9" x14ac:dyDescent="0.35">
      <c r="A9" t="s">
        <v>4</v>
      </c>
      <c r="D9" s="13">
        <f>SUBTOTAL(109,Table58[Projected Sales])</f>
        <v>928.5</v>
      </c>
    </row>
    <row r="12" spans="1:9" x14ac:dyDescent="0.35">
      <c r="A12" s="57" t="s">
        <v>103</v>
      </c>
      <c r="B12" s="54"/>
      <c r="C12" s="54"/>
      <c r="D12" s="54"/>
      <c r="E12" s="54"/>
    </row>
    <row r="13" spans="1:9" x14ac:dyDescent="0.35">
      <c r="A13" s="54"/>
      <c r="B13" s="54"/>
      <c r="C13" s="54"/>
      <c r="D13" s="54"/>
      <c r="E13" s="54"/>
    </row>
    <row r="14" spans="1:9" ht="16" customHeight="1" x14ac:dyDescent="0.4">
      <c r="A14" s="11"/>
      <c r="B14" s="11"/>
      <c r="C14" s="11"/>
      <c r="D14" s="11"/>
      <c r="E14" s="11"/>
    </row>
    <row r="15" spans="1:9" ht="16" customHeight="1" x14ac:dyDescent="0.4">
      <c r="A15" s="15">
        <f>D6</f>
        <v>262.5</v>
      </c>
      <c r="B15" s="24">
        <v>1.2500000000000001E-2</v>
      </c>
      <c r="C15" s="24">
        <v>2.5000000000000001E-2</v>
      </c>
      <c r="D15" s="24">
        <v>0.05</v>
      </c>
      <c r="E15" s="24">
        <v>0.1</v>
      </c>
    </row>
    <row r="16" spans="1:9" ht="16" customHeight="1" x14ac:dyDescent="0.4">
      <c r="A16" s="15">
        <v>300</v>
      </c>
      <c r="B16" s="23">
        <f t="dataTable" ref="B16:E21" dt2D="1" dtr="1" r1="C6" r2="B6"/>
        <v>303.75</v>
      </c>
      <c r="C16" s="23">
        <v>307.5</v>
      </c>
      <c r="D16" s="23">
        <v>315</v>
      </c>
      <c r="E16" s="23">
        <v>330</v>
      </c>
      <c r="I16" s="22"/>
    </row>
    <row r="17" spans="1:5" ht="16" customHeight="1" x14ac:dyDescent="0.4">
      <c r="A17" s="15">
        <v>325</v>
      </c>
      <c r="B17" s="23">
        <v>329.0625</v>
      </c>
      <c r="C17" s="23">
        <v>333.12499999999994</v>
      </c>
      <c r="D17" s="23">
        <v>341.25</v>
      </c>
      <c r="E17" s="23">
        <v>357.50000000000006</v>
      </c>
    </row>
    <row r="18" spans="1:5" ht="16" customHeight="1" x14ac:dyDescent="0.4">
      <c r="A18" s="15">
        <v>350</v>
      </c>
      <c r="B18" s="23">
        <v>354.375</v>
      </c>
      <c r="C18" s="23">
        <v>358.74999999999994</v>
      </c>
      <c r="D18" s="23">
        <v>367.5</v>
      </c>
      <c r="E18" s="23">
        <v>385.00000000000006</v>
      </c>
    </row>
    <row r="19" spans="1:5" ht="16" customHeight="1" x14ac:dyDescent="0.4">
      <c r="A19" s="15">
        <v>375</v>
      </c>
      <c r="B19" s="23">
        <v>379.6875</v>
      </c>
      <c r="C19" s="23">
        <v>384.37499999999994</v>
      </c>
      <c r="D19" s="23">
        <v>393.75</v>
      </c>
      <c r="E19" s="23">
        <v>412.50000000000006</v>
      </c>
    </row>
    <row r="20" spans="1:5" ht="16" customHeight="1" x14ac:dyDescent="0.4">
      <c r="A20" s="15">
        <v>400</v>
      </c>
      <c r="B20" s="23">
        <v>405</v>
      </c>
      <c r="C20" s="23">
        <v>409.99999999999994</v>
      </c>
      <c r="D20" s="23">
        <v>420</v>
      </c>
      <c r="E20" s="23">
        <v>440.00000000000006</v>
      </c>
    </row>
    <row r="21" spans="1:5" ht="16" customHeight="1" x14ac:dyDescent="0.4">
      <c r="A21" s="15">
        <v>425</v>
      </c>
      <c r="B21" s="23">
        <v>430.3125</v>
      </c>
      <c r="C21" s="23">
        <v>435.62499999999994</v>
      </c>
      <c r="D21" s="23">
        <v>446.25</v>
      </c>
      <c r="E21" s="23">
        <v>467.50000000000006</v>
      </c>
    </row>
    <row r="23" spans="1:5" x14ac:dyDescent="0.35">
      <c r="A23" s="17" t="s">
        <v>104</v>
      </c>
    </row>
  </sheetData>
  <mergeCells count="2">
    <mergeCell ref="A2:E2"/>
    <mergeCell ref="A12:E13"/>
  </mergeCells>
  <conditionalFormatting sqref="B16:E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Cash Flow Forecasting</vt:lpstr>
      <vt:lpstr>SaaS KPIs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McPhaul</dc:creator>
  <cp:lastModifiedBy>William McPhaul</cp:lastModifiedBy>
  <dcterms:created xsi:type="dcterms:W3CDTF">2025-01-01T17:24:58Z</dcterms:created>
  <dcterms:modified xsi:type="dcterms:W3CDTF">2026-05-31T18:01:26Z</dcterms:modified>
</cp:coreProperties>
</file>